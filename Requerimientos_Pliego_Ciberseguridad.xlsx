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johnvelasco/Desktop/"/>
    </mc:Choice>
  </mc:AlternateContent>
  <xr:revisionPtr revIDLastSave="0" documentId="8_{ED083EE8-112B-FF43-A592-71E26B8D3D0D}" xr6:coauthVersionLast="47" xr6:coauthVersionMax="47" xr10:uidLastSave="{00000000-0000-0000-0000-000000000000}"/>
  <bookViews>
    <workbookView xWindow="-21380" yWindow="-21600" windowWidth="38400" windowHeight="21600" tabRatio="500" activeTab="1" xr2:uid="{00000000-000D-0000-FFFF-FFFF00000000}"/>
  </bookViews>
  <sheets>
    <sheet name="Resumen" sheetId="1" r:id="rId1"/>
    <sheet name="Requerimientos" sheetId="2" r:id="rId2"/>
    <sheet name="Leyenda" sheetId="3" r:id="rId3"/>
    <sheet name="Indicadores" sheetId="4" r:id="rId4"/>
    <sheet name="Experiencia" sheetId="5" r:id="rId5"/>
  </sheets>
  <definedNames>
    <definedName name="_xlnm._FilterDatabase" localSheetId="1" hidden="1">Requerimientos!$A$1:$I$108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5" l="1"/>
  <c r="C13" i="5"/>
  <c r="B37" i="1"/>
  <c r="C37" i="1" s="1"/>
  <c r="B36" i="1"/>
  <c r="C36" i="1" s="1"/>
  <c r="B35" i="1"/>
  <c r="C35" i="1" s="1"/>
  <c r="B34" i="1"/>
  <c r="C34" i="1" s="1"/>
  <c r="B30" i="1"/>
  <c r="C29" i="1"/>
  <c r="C28" i="1"/>
  <c r="C27" i="1"/>
  <c r="C26" i="1"/>
  <c r="C25" i="1"/>
  <c r="C24" i="1"/>
  <c r="C23" i="1"/>
  <c r="C22" i="1"/>
  <c r="C21" i="1"/>
  <c r="C20" i="1"/>
  <c r="C19" i="1"/>
  <c r="C18" i="1"/>
  <c r="C17" i="1"/>
  <c r="C16" i="1"/>
  <c r="C15" i="1"/>
  <c r="C30" i="1" s="1"/>
</calcChain>
</file>

<file path=xl/sharedStrings.xml><?xml version="1.0" encoding="utf-8"?>
<sst xmlns="http://schemas.openxmlformats.org/spreadsheetml/2006/main" count="807" uniqueCount="501">
  <si>
    <t>PLIEGO DE CONDICIONES - AMP/SDA CIBERSEGURIDAD</t>
  </si>
  <si>
    <t>Proceso CCENEG-094-01-AMP-2026 — Colombia Compra Eficiente</t>
  </si>
  <si>
    <t>Lista de Requerimientos a Cumplir como Oferente / Proponente</t>
  </si>
  <si>
    <t>RESUMEN DEL PROCESO</t>
  </si>
  <si>
    <t>Total de requerimientos identificados</t>
  </si>
  <si>
    <t>Requisitos habilitantes</t>
  </si>
  <si>
    <t>Criterios puntuables (evaluación)</t>
  </si>
  <si>
    <t>Documentos / formatos exigidos</t>
  </si>
  <si>
    <t>Garantías</t>
  </si>
  <si>
    <t>Causales de rechazo</t>
  </si>
  <si>
    <t>REQUERIMIENTOS POR CATEGORÍA</t>
  </si>
  <si>
    <t>Categoría</t>
  </si>
  <si>
    <t>Cantidad</t>
  </si>
  <si>
    <t>% del total</t>
  </si>
  <si>
    <t>Causal de Rechazo</t>
  </si>
  <si>
    <t>Experiencia</t>
  </si>
  <si>
    <t>Jurídico</t>
  </si>
  <si>
    <t>Documental</t>
  </si>
  <si>
    <t>Técnico</t>
  </si>
  <si>
    <t>Financiero</t>
  </si>
  <si>
    <t>Garantía</t>
  </si>
  <si>
    <t>Evaluación-Técnico</t>
  </si>
  <si>
    <t>Evaluación-Industria Nacional</t>
  </si>
  <si>
    <t>Evaluación-MiPymes/Mujeres</t>
  </si>
  <si>
    <t>Organizacional</t>
  </si>
  <si>
    <t>Otro</t>
  </si>
  <si>
    <t>Evaluación-Económico</t>
  </si>
  <si>
    <t>Diferencial-MiPymes</t>
  </si>
  <si>
    <t>Diferencial-Mujeres</t>
  </si>
  <si>
    <t>TOTAL</t>
  </si>
  <si>
    <t>ESTADO DE CUMPLIMIENTO</t>
  </si>
  <si>
    <t>Estado</t>
  </si>
  <si>
    <t>% Avance</t>
  </si>
  <si>
    <t>Cumple (Sí)</t>
  </si>
  <si>
    <t>No cumple (No)</t>
  </si>
  <si>
    <t>Parcial</t>
  </si>
  <si>
    <t>Pendiente</t>
  </si>
  <si>
    <t>Nota: Diligencie la columna "Cumple" en la hoja "Requerimientos" con valores: Sí, No, Parcial, Pendiente.</t>
  </si>
  <si>
    <t>ID</t>
  </si>
  <si>
    <t>Tipo</t>
  </si>
  <si>
    <t>Sección Pliego</t>
  </si>
  <si>
    <t>Requerimiento</t>
  </si>
  <si>
    <t>Descripción</t>
  </si>
  <si>
    <t>Cumple</t>
  </si>
  <si>
    <t>Documento / Formato Exigido</t>
  </si>
  <si>
    <t>Observaciones</t>
  </si>
  <si>
    <t>Habilitante</t>
  </si>
  <si>
    <t>5.1.1</t>
  </si>
  <si>
    <t>Carta de Presentación de la Oferta</t>
  </si>
  <si>
    <t>Presentar Formato 1 debidamente diligenciado y suscrito por el representante legal, indicando nombre, documento de identidad y demás información solicitada.</t>
  </si>
  <si>
    <t>Formato 1 - Carta de Presentación</t>
  </si>
  <si>
    <t>5.1.10</t>
  </si>
  <si>
    <t>Certificado Seguridad Social - PJ</t>
  </si>
  <si>
    <t>Certificado firmado por revisor fiscal o representante legal acreditando pago aportes salud pensión riesgos laborales y cajas compensación.</t>
  </si>
  <si>
    <t>Formato 6</t>
  </si>
  <si>
    <t>5.1.11</t>
  </si>
  <si>
    <t>Declaración Juramentada Seguridad Social - PN</t>
  </si>
  <si>
    <t>Declaración jurada de pago de aportes personales y de empleados a sistemas de salud pensión riesgos laborales cajas compensación ICBF y SENA.</t>
  </si>
  <si>
    <t>Formato 7</t>
  </si>
  <si>
    <t>5.1.16</t>
  </si>
  <si>
    <t>Personas Jurídicas Extranjeras sin Sucursal</t>
  </si>
  <si>
    <t>Si resultan adjudicatarias deben constituir sucursal en Colombia en máximo 30 días registrando actividades del proceso. Requieren apoderado domiciliado en Colombia.</t>
  </si>
  <si>
    <t>Poder notariado y documentos constitución sucursal</t>
  </si>
  <si>
    <t>5.1.17</t>
  </si>
  <si>
    <t>Situaciones Control - Formato 15</t>
  </si>
  <si>
    <t>Formato 15 presentarse dentro de 3 días hábiles después del cierre indicando situaciones control controlante controlada con otros proponentes.</t>
  </si>
  <si>
    <t>Formato 15</t>
  </si>
  <si>
    <t>5.1.2</t>
  </si>
  <si>
    <t>Compromiso Anticorrupción</t>
  </si>
  <si>
    <t>El proponente debe suscribir compromiso anticorrupción manifestando apoyo irrestricto a los esfuerzos del Estado colombiano contra la corrupción.</t>
  </si>
  <si>
    <t>Formato 2 - Compromiso Anticorrupción</t>
  </si>
  <si>
    <t>5.1.3</t>
  </si>
  <si>
    <t>Certificado de Existencia y Representación Legal</t>
  </si>
  <si>
    <t>Para personas jurídicas colombianas o extranjeras, expedido por autoridad competente con fecha no mayor a 30 días antes del cierre.</t>
  </si>
  <si>
    <t>Certificado existencia y representación legal</t>
  </si>
  <si>
    <t>5.1.6</t>
  </si>
  <si>
    <t>Certificado Inscripción RUP</t>
  </si>
  <si>
    <t>Certificado vigente y en firme del RUP expedido máximo 30 días antes del cierre. Obligatorio para proponentes obligados a inscribirse.</t>
  </si>
  <si>
    <t>Certificado RUP</t>
  </si>
  <si>
    <t>5.1.8</t>
  </si>
  <si>
    <t>Acuerdo Consorcio o Unión Temporal</t>
  </si>
  <si>
    <t>Para proponentes plurales acuerdo que evidencie voluntad de asociarse con identificación integrantes participación y duración mínima igual a vigencia AMP + 1 año.</t>
  </si>
  <si>
    <t>Formato 4 o Formato 5</t>
  </si>
  <si>
    <t>5.2.1</t>
  </si>
  <si>
    <t>Vigencia y firmeza del RUP financiero</t>
  </si>
  <si>
    <t>El RUP debe estar vigente y en firme antes del cierre del proceso. Los indicadores financieros se acreditan con el mejor de los últimos 3 años fiscales reportados en el RUP.</t>
  </si>
  <si>
    <t>Certificado RUP en firme</t>
  </si>
  <si>
    <t>Acreditación financiera para proponentes exceptuados de RUP</t>
  </si>
  <si>
    <t>Personas extranjeras sin domicilio en Colombia y microempresas exceptuadas del RUP deben acreditar los indicadores con estados financieros del último año fiscal certificados por contador público (y revisor fiscal si aplica) en formato Colombia o convertidos a pesos colombianos.</t>
  </si>
  <si>
    <t>Estados financieros + certificación contador / revisor fiscal</t>
  </si>
  <si>
    <t>5.2.1 / Tabla 6</t>
  </si>
  <si>
    <t>Índice de Liquidez ≥ 1,13</t>
  </si>
  <si>
    <t>Fórmula: Activo Corriente / Pasivo Corriente ≥ 1,13. Excepción: proponentes sin pasivos corrientes quedan habilitados automáticamente. Para proponentes plurales se calcula sumando componentes ponderados por porcentaje de participación de cada integrante.</t>
  </si>
  <si>
    <t>RUP / Estados financieros certificados</t>
  </si>
  <si>
    <t>Nivel de Endeudamiento ≤ 0,84</t>
  </si>
  <si>
    <t>Fórmula: Pasivo Total / Activo Total ≤ 0,84. Para proponentes plurales se calcula sumando los componentes ponderados por porcentaje de participación.</t>
  </si>
  <si>
    <t>Razón de Cobertura de Intereses ≥ 1,00</t>
  </si>
  <si>
    <t>Fórmula: Utilidad Operacional / Gastos de Intereses ≥ 1,00. Excepción: proponentes que no tengan gastos de intereses quedan habilitados automáticamente. Plurales: ponderado por participación.</t>
  </si>
  <si>
    <t>5.2.2 / Tabla 7</t>
  </si>
  <si>
    <t>Rentabilidad sobre Activos (ROA) ≥ 0,03</t>
  </si>
  <si>
    <t>Fórmula: Utilidad Operacional / Activo Total ≥ 0,03. Para proponentes plurales se aplica la fórmula ponderada por porcentaje de participación.</t>
  </si>
  <si>
    <t>RUP / Estados financieros</t>
  </si>
  <si>
    <t>Rentabilidad sobre Patrimonio (ROE) ≥ 0,01</t>
  </si>
  <si>
    <t>Fórmula: Utilidad Operacional / Patrimonio ≥ 0,01. Excepción: si el patrimonio es cero (0) NO se puede calcular y el proponente NO cumple este indicador.</t>
  </si>
  <si>
    <t>2.6 / Tabla 2</t>
  </si>
  <si>
    <t>Códigos UNSPSC aplicables al AMP/SDA</t>
  </si>
  <si>
    <t>Listado completo de los 15 códigos UNSPSC del proceso (Tabla 2): 43222500 (Equipos de Seguridad de la red); 43222600 (Equipos de servicio de red); 43231500 (Software funcional de empresa); 43233000 (Software de entorno corporativo); 43233200 (Software de Seguridad y Protección); 43233400 (Software de controladores de dispositivos y utilidades); 43233500 (Software de intercambio de información); 43233700 (Software de manejo de sistemas de empresas); 80101600 (Gerencia de proyectos); 81111500 (Ingeniería de Hardware y Software); 81111700 (Sistemas de manejo de información); 81111800 (Servicios de sistemas y administración de componentes de sistemas); 81111900 (Sistemas de recuperación de información); 81112200 (Mantenimiento y soporte de software); 81161500 (Servicios de administración de accesos). El proponente debe demostrar mínimo 5 de estos códigos en sus contratos.</t>
  </si>
  <si>
    <t>RUP</t>
  </si>
  <si>
    <t>5.3</t>
  </si>
  <si>
    <t>Objeto contractual relacionado con ciberseguridad</t>
  </si>
  <si>
    <t>Los contratos deben acreditar prestación, venta, comercialización, renovación, implementación, soporte, mantenimiento y/o actividades relacionadas con bienes y servicios de ciberseguridad.</t>
  </si>
  <si>
    <t>RUP / Certificaciones</t>
  </si>
  <si>
    <t>5.3 / 2.6</t>
  </si>
  <si>
    <t>Acreditar mínimo 5 códigos UNSPSC</t>
  </si>
  <si>
    <t>Por cada segmento al que se presente, debe acreditar al menos CINCO (5) códigos UNSPSC del listado del numeral 2.6, evidenciados en la totalidad de los contratos aportados (no es necesario que cada contrato tenga los 5).</t>
  </si>
  <si>
    <t>Formato 8 + RUP</t>
  </si>
  <si>
    <t>5.3 / 5.3.3</t>
  </si>
  <si>
    <t>Cálculo en SMMLV año de terminación</t>
  </si>
  <si>
    <t>El valor de la experiencia se expresa en SMMLV vigentes a la fecha de terminación del contrato. Para proponentes exceptuados de RUP se usa el SMMLV del año de firma.</t>
  </si>
  <si>
    <t>Formato 8</t>
  </si>
  <si>
    <t>5.3 / Tabla 8 - Segmento 1</t>
  </si>
  <si>
    <t>Segmento 1 - Seguridad de Infraestructura y Red: 6.000 SMMLV</t>
  </si>
  <si>
    <t>Experiencia mínima de 6.000 SMMLV en contratos relacionados con: NGFW; IPS/IDS; SD-WAN; Anti-DDoS; Bot Defense; Sandbox/ATP; Proxy/Secure Web Gateway; Anti-Spam/Anti-Phishing; NAC; ADC/Balanceo; OT/ICS Network Protection; 5G/OT Security; LAN/WAN/Edge Mgmt; Microsegmentación; Firewall de Base de Datos. Si presenta oferta a varios segmentos, debe sumar la experiencia mínima de cada uno acreditando 5 códigos UNSPSC y máx. 10 contratos por segmento.</t>
  </si>
  <si>
    <t>5.3 / Tabla 8 - Segmento 2</t>
  </si>
  <si>
    <t>Segmento 2 - Seguridad de Endpoints y Dispositivos: 3.000 SMMLV</t>
  </si>
  <si>
    <t>Experiencia mínima de 3.000 SMMLV en contratos relacionados con: EPP; EDR; MTD/EMM; IoT/OT Endpoint; Patching/Prioritization. Si presenta oferta a varios segmentos, debe sumar la experiencia mínima de cada uno acreditando 5 códigos UNSPSC y máx. 10 contratos por segmento.</t>
  </si>
  <si>
    <t>5.3 / Tabla 8 - Segmento 3</t>
  </si>
  <si>
    <t>Segmento 3 - Gestión de Identidades y Accesos (IAM/PAM): 2.000 SMMLV</t>
  </si>
  <si>
    <t>Experiencia mínima de 2.000 SMMLV en contratos relacionados con: MFA/SSO/Federation; IGA/PAM; VPN/SDP/ZTNA; Identity Governance/Risk. Si presenta oferta a varios segmentos, debe sumar la experiencia mínima de cada uno acreditando 5 códigos UNSPSC y máx. 10 contratos por segmento.</t>
  </si>
  <si>
    <t>5.3 / Tabla 8 - Segmento 4</t>
  </si>
  <si>
    <t>Segmento 4 - Protección de Datos y Continuidad: 1.000 SMMLV</t>
  </si>
  <si>
    <t>Experiencia mínima de 1.000 SMMLV en contratos relacionados con: Encryption/Tokenization/KMS; PKI/HSM; Certificados/Firma Digital/SSL-TLS/Timestamping; DLP/Data Classification; Backup/Restore/Immutable; DR/Site Recovery; Cyber Resilience/Recovery; Data Governance/Compliance; PQC/Post-Quantum Security. Si presenta oferta a varios segmentos, debe sumar la experiencia mínima de cada uno acreditando 5 códigos UNSPSC y máx. 10 contratos por segmento.</t>
  </si>
  <si>
    <t>5.3 / Tabla 8 - Segmento 5</t>
  </si>
  <si>
    <t>Segmento 5 - Seguridad en la Nube y Aplicaciones: 3.000 SMMLV</t>
  </si>
  <si>
    <t>Experiencia mínima de 3.000 SMMLV en contratos relacionados con: CSPM; CNAPP; CWPP; WAF; API Security; CASB/Email/Collaboration; DevSecOps/IaC/CI-CD; SASE/SSE; Cloud-Native Visibility; CDN/Security CDN; AI Security; Blockchain/Web3 Security. Si presenta oferta a varios segmentos, debe sumar la experiencia mínima de cada uno acreditando 5 códigos UNSPSC y máx. 10 contratos por segmento.</t>
  </si>
  <si>
    <t>5.3 / Tabla 8 - Segmento 6</t>
  </si>
  <si>
    <t>Segmento 6 - Monitoreo, Orquestación y Automatización: 6.000 SMMLV</t>
  </si>
  <si>
    <t>Experiencia mínima de 6.000 SMMLV en contratos relacionados con: Vulnerability Mgmt; SIEM; SOAR; XDR; Threat Intelligence/Sandboxing; Dashboards/KPIs/Analytics; AI/Behavioral Detection; AI/ML/Correlación; Deception/Honeypots; BAS/Crisis Response; Consolas/Políticas/Logs. Si presenta oferta a varios segmentos, debe sumar la experiencia mínima de cada uno acreditando 5 códigos UNSPSC y máx. 10 contratos por segmento.</t>
  </si>
  <si>
    <t>5.3 / Tabla 8 - Segmento 7</t>
  </si>
  <si>
    <t>Segmento 7 - Servicios Gestionados y Operaciones de Seguridad: 6.000 SMMLV</t>
  </si>
  <si>
    <t>Experiencia mínima de 6.000 SMMLV en contratos relacionados con: SOC-as-a-Service; MDR/XDR Gestionado; DFIR/Forense Digital; Servicios Profesionales; Threat Hunting; NOC/CNOC. Si presenta oferta a varios segmentos, debe sumar la experiencia mínima de cada uno acreditando 5 códigos UNSPSC y máx. 10 contratos por segmento.</t>
  </si>
  <si>
    <t>5.3 / Tabla 8 - Segmento 8</t>
  </si>
  <si>
    <t>Segmento 8 - Consultoría y Gobierno en Ciberseguridad: 1.000 SMMLV</t>
  </si>
  <si>
    <t>Experiencia mínima de 1.000 SMMLV en contratos relacionados con: GRC/Riesgos/NIST/ISO; Pentesting/Red Team; Assessment/Hardening; Awareness/Capacitación. Si presenta oferta a varios segmentos, debe sumar la experiencia mínima de cada uno acreditando 5 códigos UNSPSC y máx. 10 contratos por segmento.</t>
  </si>
  <si>
    <t>5.3.1</t>
  </si>
  <si>
    <t>Máximo 10 contratos por segmento</t>
  </si>
  <si>
    <t>Por cada segmento se verifican entre MÍNIMO UNO (1) Y MÁXIMO DIEZ (10) contratos. Si se relacionan más, CCE solo tendrá en cuenta los primeros 10 en orden consecutivo.</t>
  </si>
  <si>
    <t>Reglas para proponentes plurales</t>
  </si>
  <si>
    <t>Todos los integrantes deben acreditar al menos 1 contrato. La sumatoria de porcentajes de participación = 100%. No se acepta participación 0%. Solo cuenta el % de participación del integrante que se presenta. No se acumula experiencia de socios + persona jurídica.</t>
  </si>
  <si>
    <t>Formato 4/5 + Formato 8</t>
  </si>
  <si>
    <t>5.3.1.B-C</t>
  </si>
  <si>
    <t>Prevalencia de información del RUP</t>
  </si>
  <si>
    <t>En caso de diferencias entre Formato 8 y RUP, prevalece la información del RUP. Para no obligados a RUP, prevalecen los primeros 10 contratos aportados con la oferta en orden consecutivo.</t>
  </si>
  <si>
    <t>RUP / Formato 8</t>
  </si>
  <si>
    <t>5.3.1.G</t>
  </si>
  <si>
    <t>Acreditación en caso de fusión empresarial</t>
  </si>
  <si>
    <t>Si el proponente o un integrante participó en fusión empresarial, debe presentar el documento que formaliza la fusión + el contrato registrado en el RUP que pretende hacer valer.</t>
  </si>
  <si>
    <t>Documento de fusión + RUP</t>
  </si>
  <si>
    <t>5.3.2</t>
  </si>
  <si>
    <t>Inscripción en RUP en firme al cierre</t>
  </si>
  <si>
    <t>El proponente (singular o cada miembro de figura plural) debe estar inscrito en el RUP, vigente y en firme antes del cierre. Certificado RUP expedido máximo 30 días calendario antes del cierre.</t>
  </si>
  <si>
    <t>5.3.3</t>
  </si>
  <si>
    <t>Experiencia para exceptuados de RUP</t>
  </si>
  <si>
    <t>Máx. 10 certificaciones de contratos ejecutados y finalizados. Cada certificación debe incluir: nombre/ID contratista y contratante, objeto, contacto, valor, plazo (inicio-fin), firma del representante legal del contratante.</t>
  </si>
  <si>
    <t>Certificaciones de cliente (mín. requisitos)</t>
  </si>
  <si>
    <t>5.4</t>
  </si>
  <si>
    <t>Certificado Proveedor Autorizado</t>
  </si>
  <si>
    <t>Certificación del fabricante para cada marca solución ofertada acreditando autorización distribuir comercializar implementar soportar. Máximo 90 días antes del cierre.</t>
  </si>
  <si>
    <t>Certificación Proveedor Autorizado</t>
  </si>
  <si>
    <t>Capacidad Técnica Mínima</t>
  </si>
  <si>
    <t>Declaración bajo gravedad de juramento acreditando capacidad técnica requerida incluyendo estructura atención gestión incidentes escalamiento continuidad niveles servicio.</t>
  </si>
  <si>
    <t>Declaración juramentada + Descripción modelo</t>
  </si>
  <si>
    <t>Personal Mínimo Técnico</t>
  </si>
  <si>
    <t>Mínimo 2 personas con formación académica experiencia en ciberseguridad seguridad información o TI. Vinculadas desde mínimo 3 meses antes de presentación oferta.</t>
  </si>
  <si>
    <t>Certificación personal + CV + Certificado antecedentes</t>
  </si>
  <si>
    <t>Metodología Prestación Servicio</t>
  </si>
  <si>
    <t>Descripción del modelo de prestación con componentes de planificación ejecución seguimiento control gestión incidentes cambios continuidad según aplique al segmento.</t>
  </si>
  <si>
    <t>Documento descriptivo firmado</t>
  </si>
  <si>
    <t>ISO 27001 o Marco Equivalente</t>
  </si>
  <si>
    <t>Marco de gestión servicios seguridad información alineado con ISO 27001 o equivalente reconocido internacionalmente. Evaluación por tercero independiente máximo 2 años antes del cierre.</t>
  </si>
  <si>
    <t>Informe auditoría ISO 27001 o evaluación conformidad</t>
  </si>
  <si>
    <t>Certificaciones Clientes Anteriores</t>
  </si>
  <si>
    <t>Mínimo 3 certificaciones de clientes diferentes o actas de liquidación de contratos finalizados. Vigencia máximo 5 años. Deben incluir estado servicios fechas y firma autorizada.</t>
  </si>
  <si>
    <t>Certificaciones clientes</t>
  </si>
  <si>
    <t>Certificaciones por Fabricante</t>
  </si>
  <si>
    <t>Para proponentes con múltiples fabricantes presentar 3 certificaciones diferentes por cada fabricante en Segmentos 1-6.</t>
  </si>
  <si>
    <t>Monto Mínimo Certificaciones Segmentos 7-8</t>
  </si>
  <si>
    <t>Para Segmentos 7 y 8 certificaciones deben sumar mínimo $1.000.000.000 COP por segmento.</t>
  </si>
  <si>
    <t>Certificaciones con valor contrato</t>
  </si>
  <si>
    <t>5.1</t>
  </si>
  <si>
    <t>Objeto Social Permitido</t>
  </si>
  <si>
    <t>Objeto social del proponente debe permitir prestación venta comercialización de servicios ciberseguridad implementación privacidad auditorías técnicas distribución sistemas consultoría comercialización software.</t>
  </si>
  <si>
    <t>Duración Mínima Persona Jurídica</t>
  </si>
  <si>
    <t>Duración de persona jurídica proponente individual o plurales debe ser &gt;= a vigencia del AMP + 1 año. Si es inferior se admite acta de compromiso de prórroga.</t>
  </si>
  <si>
    <t>Certificado existencia o Acta prórroga</t>
  </si>
  <si>
    <t>Puntuable</t>
  </si>
  <si>
    <t>7.1</t>
  </si>
  <si>
    <t>Factor Económico - 48,25 puntos</t>
  </si>
  <si>
    <t>Evaluación de oferta económica con fórmula que otorga puntos según relación entre precio ofertado median precio máximo. Aplicable a cada segmento.</t>
  </si>
  <si>
    <t>Formato 10</t>
  </si>
  <si>
    <t>7.7</t>
  </si>
  <si>
    <t>Reducción por Incumplimiento - 2%</t>
  </si>
  <si>
    <t>Reducción del 2% del total puntos para proponentes con multas o cláusulas penales en último año. No aplica si hay medios control jurisdiccional pendientes.</t>
  </si>
  <si>
    <t>Consulta RUP RUES + Copia demanda</t>
  </si>
  <si>
    <t>7.2.1</t>
  </si>
  <si>
    <t>Factor Técnico 1 - Formación</t>
  </si>
  <si>
    <t>5 puntos para proponente que suscriba Formato 14 comprometiéndose a realizar mínimo 2 capacitaciones virtuales por Orden de Compra mínimo 60 minutos sobre ciberseguridad.</t>
  </si>
  <si>
    <t>Formato 14</t>
  </si>
  <si>
    <t>7.2.2</t>
  </si>
  <si>
    <t>Factor Técnico 2 - Aseguramiento</t>
  </si>
  <si>
    <t>10 puntos para proponente que presente mínimo 2 documentos de tercero independiente SOC 2 ISAE 3402 auditoría externa o FIRST informe máximo 1 año antigüedad.</t>
  </si>
  <si>
    <t>Reportes aseguramiento + Formato 9</t>
  </si>
  <si>
    <t>7.2.3</t>
  </si>
  <si>
    <t>Factor Técnico 3 - BCMS</t>
  </si>
  <si>
    <t>10 puntos para implementación y madurez de Sistema Gestión Continuidad Negocio BCMS. Evaluación por tercero acreditado máximo 2 años antes cierre. Incluye BIA planes RTO RPO pruebas mejora.</t>
  </si>
  <si>
    <t>Certificación auditoría BCMS + Formato 9</t>
  </si>
  <si>
    <t>7.2.4</t>
  </si>
  <si>
    <t>Factor Técnico 4 - Gestión Servicios TI</t>
  </si>
  <si>
    <t>5 puntos para Sistema Gestión Servicios ITSM con certificación auditoría evaluación por tercero acreditado máximo 2 años antes cierre demostrando alineación negocio y mejora continua.</t>
  </si>
  <si>
    <t>Certificación auditoría SGS o ITSM + Formato 9</t>
  </si>
  <si>
    <t>7.3.1.1</t>
  </si>
  <si>
    <t>Servicios Nacionales - 20 puntos</t>
  </si>
  <si>
    <t>20 puntos para proponente que compruebe servicios nacionales vinculando mínimo 70% de empleados contratistas colombianos asociados a cumplimiento del contrato.</t>
  </si>
  <si>
    <t>Certificación compromiso + Formato 9</t>
  </si>
  <si>
    <t>7.3.1.2</t>
  </si>
  <si>
    <t>Trato Nacional o Acuerdo Comercial - 20 puntos</t>
  </si>
  <si>
    <t>20 puntos para proponentes de países con trato nacional negociado con Colombia según Ley 816 de 2003 y Acuerdos Comerciales vigentes.</t>
  </si>
  <si>
    <t>Formato 9</t>
  </si>
  <si>
    <t>7.3.1.3</t>
  </si>
  <si>
    <t>Componente Nacional Servicios Extranjeros - 5 puntos</t>
  </si>
  <si>
    <t>5 puntos para proponentes que comprometan vincular mínimo 50% de empleados colombianos contrato laboral o prestación servicios.</t>
  </si>
  <si>
    <t>7.4</t>
  </si>
  <si>
    <t>Diferencial MiPymes - 0,25 puntos</t>
  </si>
  <si>
    <t>0,25 puntos adicionales para proponente acreditado como MiPyme según Ley 957 de 2019. Para plurales requiere mínimo un integrante MiPyme con participación &gt;= 10%.</t>
  </si>
  <si>
    <t>Certificación tamaño empresarial</t>
  </si>
  <si>
    <t>7.5</t>
  </si>
  <si>
    <t>Diferencial Mujeres - 0,25 puntos</t>
  </si>
  <si>
    <t>0,25 puntos para emprendimiento empresa mujeres que cumpla criterios &gt;50% acciones mujeres 1 año &gt;50% directivas mujeres persona natural mujer o &gt;50% asociados mujeres.</t>
  </si>
  <si>
    <t>Formato 13 + Certificaciones</t>
  </si>
  <si>
    <t>7.6</t>
  </si>
  <si>
    <t>Diferencial Discapacidad - 1,25 puntos</t>
  </si>
  <si>
    <t>1,25 puntos para emprendimiento empresa personas con discapacidad o empleador exclusivo personas con discapacidad. Evaluado según Decreto 0287 de 2026.</t>
  </si>
  <si>
    <t>Formato específico + Certificados discapacidad</t>
  </si>
  <si>
    <t>5.1.12</t>
  </si>
  <si>
    <t>Verificación Condición MiPyme</t>
  </si>
  <si>
    <t>Para desempate clasificación acreditada en RUP. Si no está certificación de tamaño empresarial según Ley 957 de 2019.</t>
  </si>
  <si>
    <t>5.1.13</t>
  </si>
  <si>
    <t>Verificación Antecedentes Fiscales Penales Disciplinarios</t>
  </si>
  <si>
    <t>Proponente e integrantes no deben estar reportados en boletín responsables fiscales antecedentes disciplinarios o antecedentes Policía Nacional.</t>
  </si>
  <si>
    <t>Certificados antecedentes</t>
  </si>
  <si>
    <t>5.1.14</t>
  </si>
  <si>
    <t>Pago Multas Código Policía</t>
  </si>
  <si>
    <t>Proponente e integrantes deben estar al día en pagos de multas por infracciones al Código Policía en RNMC Policía Nacional.</t>
  </si>
  <si>
    <t>Certificado RNMC</t>
  </si>
  <si>
    <t>5.1.15</t>
  </si>
  <si>
    <t>Certificado REDAM</t>
  </si>
  <si>
    <t>Persona natural o representante legal no debe estar inscrito en Registro Deudores Alimentarios Morosos según Ley 2097 de 2021.</t>
  </si>
  <si>
    <t>Documentación Situaciones Control</t>
  </si>
  <si>
    <t>Si existe situación de control adjuntar registro mercantil RUP o documento donde conste inscripción de la situación de control Art. 30 Ley 222.</t>
  </si>
  <si>
    <t>Registro mercantil o RUP</t>
  </si>
  <si>
    <t>5.1.4</t>
  </si>
  <si>
    <t>Registro de Matrícula Mercantil</t>
  </si>
  <si>
    <t>En caso de aplicar, debe allegarse registro vigente de la Cámara de Comercio al momento del cierre del proceso.</t>
  </si>
  <si>
    <t>Registro Matrícula Mercantil</t>
  </si>
  <si>
    <t>5.1.5</t>
  </si>
  <si>
    <t>Cédula de Ciudadanía</t>
  </si>
  <si>
    <t>Para personas naturales nacionales copia simple de cédula válida. Para extranjeros copia de Cédula de Extranjería.</t>
  </si>
  <si>
    <t>Cédula de ciudadanía o extranjería</t>
  </si>
  <si>
    <t>5.1.7</t>
  </si>
  <si>
    <t>Excepción RUP - Microempresas</t>
  </si>
  <si>
    <t>Proponentes con tamaño empresarial Microempresa están exceptuados de presentar RUP según Ley 2294 de 2023.</t>
  </si>
  <si>
    <t>N/A</t>
  </si>
  <si>
    <t>Título Profesional Personal</t>
  </si>
  <si>
    <t>Personal debe poseer título profesional. Adjuntar acta de grado diploma cédula y certificado antecedentes profesión expedido máximo 30 días antes del cierre.</t>
  </si>
  <si>
    <t>Acta grado + Diploma + Cédula + Certificado</t>
  </si>
  <si>
    <t>Formato 1 - Carta Presentación</t>
  </si>
  <si>
    <t>Formato estándar debidamente diligenciado y suscrito por representante legal con declaración juramentada de no incumplimiento inhabilidades y conflictos intereses.</t>
  </si>
  <si>
    <t>Formato 1</t>
  </si>
  <si>
    <t>Formato 6 - Seguridad Social PJ</t>
  </si>
  <si>
    <t>Certificado de pagos seguridad social y aportes parafiscales para personas jurídicas suscrito por revisor fiscal o representante legal.</t>
  </si>
  <si>
    <t>Formato 7 - Seguridad Social PN</t>
  </si>
  <si>
    <t>Declaración juramentada de pago aportes personales y de empleados a sistemas seguridad social para personas naturales.</t>
  </si>
  <si>
    <t>Formato 15 - Situaciones Control</t>
  </si>
  <si>
    <t>Formato para declarar existencia o no de situaciones control controlante controlada con otros proponentes. Presentación dentro de 3 días hábiles después del cierre.</t>
  </si>
  <si>
    <t>Formato de compromiso anticorrupción. Para proponentes plurales debe estar suscrito por todos los representantes legales de los integrantes.</t>
  </si>
  <si>
    <t>Formato 2</t>
  </si>
  <si>
    <t>Formato 3 - Personas Extranjeras</t>
  </si>
  <si>
    <t>Para personas naturales extranjeras sin domicilio en Colombia y PJ extranjeras sin sucursal acreditación alternativa de requisitos habilitantes.</t>
  </si>
  <si>
    <t>Formato 3</t>
  </si>
  <si>
    <t>Formato 4 - Acuerdo Consorcio</t>
  </si>
  <si>
    <t>Formato para constitución de Consorcio como proponente plural con voluntad asociarse identificación integrantes participación y duración.</t>
  </si>
  <si>
    <t>Formato 4</t>
  </si>
  <si>
    <t>Formato 5 - Acuerdo Unión Temporal</t>
  </si>
  <si>
    <t>Formato para constitución de Unión Temporal como proponente plural con voluntad asociarse alcance participación integrantes y duración.</t>
  </si>
  <si>
    <t>Formato 5</t>
  </si>
  <si>
    <t>Formato 8 - Acreditación Experiencia</t>
  </si>
  <si>
    <t>Formato para acreditación de experiencia indicando número consecutivo contratos RUP y SMMLV acreditados por segmento y códigos UNSPSC.</t>
  </si>
  <si>
    <t>Formato 10 - Oferta Económica</t>
  </si>
  <si>
    <t>Formato de oferta económica con precios techo para cada item del segmento fabricante. Todos los valores deben ser mayores a cero. Completamente diligenciado.</t>
  </si>
  <si>
    <t>7.2-7.3</t>
  </si>
  <si>
    <t>Formato 9 - Factores Técnicos e Industria</t>
  </si>
  <si>
    <t>Formato para 4 factores técnicos adicionales Formación Aseguramiento independiente BCMS Gestión Servicios TI e Industria Nacional Servicios nacionales Trato nacional Componente nacional.</t>
  </si>
  <si>
    <t>Formato 14 - Plan Formación</t>
  </si>
  <si>
    <t>Formato de compromiso del proponente a realizar mínimo 2 capacitaciones virtuales por Orden de Compra con duración mínima 60 minutos sobre ciberseguridad.</t>
  </si>
  <si>
    <t>Formato 13 - Empresa Mujeres</t>
  </si>
  <si>
    <t>Formato para acreditación de emprendimiento y empresa de mujeres con documentación soporte según criterios Decreto 1860 de 2021.</t>
  </si>
  <si>
    <t>Formato 13</t>
  </si>
  <si>
    <t>2.23.B</t>
  </si>
  <si>
    <t>No Cumplimiento Habilitantes</t>
  </si>
  <si>
    <t>Ofertas que no cumplan requisitos habilitantes Sección 5 serán rechazadas.</t>
  </si>
  <si>
    <t>2.23.C</t>
  </si>
  <si>
    <t>Oferta Extemporánea</t>
  </si>
  <si>
    <t>Ofertas presentadas después del plazo establecido en cronograma serán rechazadas.</t>
  </si>
  <si>
    <t>2.23.D</t>
  </si>
  <si>
    <t>Incumplimiento Compromiso Anticorrupción</t>
  </si>
  <si>
    <t>Ofertas que no cumplan con lo establecido en compromiso anticorrupción serán rechazadas.</t>
  </si>
  <si>
    <t>2.23.E</t>
  </si>
  <si>
    <t>Proponente Distinto en Documentos</t>
  </si>
  <si>
    <t>Presentación de oferta por proponente distinto al que aparece en documentos soporte causa rechazo.</t>
  </si>
  <si>
    <t>2.23.F</t>
  </si>
  <si>
    <t>Inhabilidades e Incompatibilidades</t>
  </si>
  <si>
    <t>Proponente o representante legal incurso en causales de inhabilidad incompatibilidad según Constitución Ley o en conflicto intereses causa rechazo.</t>
  </si>
  <si>
    <t>Verificaciones antecedentes</t>
  </si>
  <si>
    <t>2.23.G</t>
  </si>
  <si>
    <t>Incapacidad Jurídica</t>
  </si>
  <si>
    <t>Oferta presentada por persona jurídicamente incapaz o que no cumpla calidades habilitantes causa rechazo.</t>
  </si>
  <si>
    <t>Certificados existencia y representación legal</t>
  </si>
  <si>
    <t>2.23.H</t>
  </si>
  <si>
    <t>Extranjero sin Sucursal</t>
  </si>
  <si>
    <t>Proponente extranjero con sucursal en Colombia que no concurra a través de ella causa rechazo.</t>
  </si>
  <si>
    <t>Certificado existencia sucursal</t>
  </si>
  <si>
    <t>2.23.I</t>
  </si>
  <si>
    <t>Múltiples Ofertas Mismo Proponente</t>
  </si>
  <si>
    <t>Múltiples ofertas del mismo proponente para mismo segmento fabricante o socios comunes. Solo válida primera oferta recibida.</t>
  </si>
  <si>
    <t>2.23.J</t>
  </si>
  <si>
    <t>Representante Legal no Autorizado</t>
  </si>
  <si>
    <t>Representante legal no debidamente autorizado para presentar oferta o firmar contrato según estatutos causa rechazo si no aporta documento.</t>
  </si>
  <si>
    <t>Documento autorización órgano competente</t>
  </si>
  <si>
    <t>2.23.K</t>
  </si>
  <si>
    <t>Incumplimiento Protocolo Presentación</t>
  </si>
  <si>
    <t>Oferta presentada extemporáneamente fuera de SECOP II sin protocolo indisponibilidad o por correo fax física causa rechazo.</t>
  </si>
  <si>
    <t>2.23.L</t>
  </si>
  <si>
    <t>Condiciones Artificiales Económicas</t>
  </si>
  <si>
    <t>Oferta con condiciones económicas artificiales evidenciadas o sin respuesta a aclaraciones solicitadas en término causa rechazo.</t>
  </si>
  <si>
    <t>2.23.M</t>
  </si>
  <si>
    <t>Filial o Subsidiaria Presenta Oferta</t>
  </si>
  <si>
    <t>Para mismo segmento fabricante si sociedad y su filial subsidiaria presentan ofertas se rechaza la presentada en segundo lugar.</t>
  </si>
  <si>
    <t>Registro mercantil de relaciones control</t>
  </si>
  <si>
    <t>2.23.N</t>
  </si>
  <si>
    <t>Información Contradictoria o Falsa</t>
  </si>
  <si>
    <t>Información contradictoria inconsistente o no veraz o alteración de documentos causa rechazo.</t>
  </si>
  <si>
    <t>2.23.O</t>
  </si>
  <si>
    <t>Disolución o Liquidación</t>
  </si>
  <si>
    <t>Persona jurídica proponente incursa en causal de disolución liquidación o liquidación judicial obligatoria causa rechazo.</t>
  </si>
  <si>
    <t>Registro mercantil</t>
  </si>
  <si>
    <t>2.23.P</t>
  </si>
  <si>
    <t>Incumplimiento Objeto</t>
  </si>
  <si>
    <t>Oferta que no cumpla con integridad del objeto y alcance de la licitación causa rechazo.</t>
  </si>
  <si>
    <t>2.23.Q</t>
  </si>
  <si>
    <t>Oferta Condicionada</t>
  </si>
  <si>
    <t>Oferta condicionada causa rechazo.</t>
  </si>
  <si>
    <t>2.23.R</t>
  </si>
  <si>
    <t>Omisión Oferta Económica</t>
  </si>
  <si>
    <t>Omisión de oferta económica valores contradictorios o no válidos económicamente causa rechazo.</t>
  </si>
  <si>
    <t>2.23.S</t>
  </si>
  <si>
    <t>Objeto Social no Permite Ejecución</t>
  </si>
  <si>
    <t>Objeto social o actividad comercial no permite ejecutar actividades del proceso causa rechazo. Excepto objetos sociales generales de actividad lícita.</t>
  </si>
  <si>
    <t>2.23.T</t>
  </si>
  <si>
    <t>Omisión Formato 15 Situaciones Control</t>
  </si>
  <si>
    <t>No presentar Formato 15 en plazo de 3 días calendario después del cierre o no subsanar información requerida causa rechazo.</t>
  </si>
  <si>
    <t>2.23.U</t>
  </si>
  <si>
    <t>Situaciones Control Configuran Inhabilidades</t>
  </si>
  <si>
    <t>Tras verificación situaciones control que configuren inhabilidades Art. 8 Ley 80 afecten pluralidad o vulneren capacidad jurídica causa rechazo.</t>
  </si>
  <si>
    <t>Formato 15 + Registros mercantiles</t>
  </si>
  <si>
    <t>2.23.V</t>
  </si>
  <si>
    <t>No Subsanación Requisitos Habilitantes</t>
  </si>
  <si>
    <t>No subsanar subsanar incorrectamente o fuera de término información documentación de requisito habilitante causa rechazo.</t>
  </si>
  <si>
    <t>Subsanaciones en plazo</t>
  </si>
  <si>
    <t>2.23.W</t>
  </si>
  <si>
    <t>No Presentación Garantía Seriedad</t>
  </si>
  <si>
    <t>No entrega de Garantía Seriedad Oferta junto con oferta causa rechazo.</t>
  </si>
  <si>
    <t>Póliza Garantía</t>
  </si>
  <si>
    <t>5.6.1</t>
  </si>
  <si>
    <t>Diferencial MiPymes - Garantía</t>
  </si>
  <si>
    <t>MiPymes pagan 500 SMMLV de garantía de seriedad en lugar de 1.000 SMMLV. Acreditación según rangos Ley 957 de 2019.</t>
  </si>
  <si>
    <t>Tabla 11 + Certificación</t>
  </si>
  <si>
    <t>5.6.2</t>
  </si>
  <si>
    <t>Diferencial Mujeres - Garantía</t>
  </si>
  <si>
    <t>Emprendimientos empresas mujeres pagan 500 SMMLV de garantía. Acreditación &gt;50% acciones mujeres 1 año &gt;50% directivas mujeres mujer propietaria establecimiento comercio o &gt;50% asociados mujeres.</t>
  </si>
  <si>
    <t>Tabla 12 + Certificaciones</t>
  </si>
  <si>
    <t>5.1.9</t>
  </si>
  <si>
    <t>Garantía Seriedad Oferta</t>
  </si>
  <si>
    <t>Garantía a favor de CCE NIT 900.514.813-2 con vigencia 90 días desde presentación hasta aprobación garantía cumplimiento. Valor según clasificación empresarial.</t>
  </si>
  <si>
    <t>Póliza de Garantía</t>
  </si>
  <si>
    <t>Valor Garantía - NO MiPymes</t>
  </si>
  <si>
    <t>1.000 SMMLV ($1.750.905.000) para proponentes que no sean MiPymes ni emprendimientos especiales.</t>
  </si>
  <si>
    <t>Tabla 5</t>
  </si>
  <si>
    <t>Valor Garantía - MiPymes</t>
  </si>
  <si>
    <t>500 SMMLV ($875.452.500) para MiPymes colombianas acreditadas según Ley 957 de 2019.</t>
  </si>
  <si>
    <t>Valor Garantía - Emprendimientos Mujeres</t>
  </si>
  <si>
    <t>500 SMMLV para emprendimientos y empresas de mujeres que cumplan criterios Decreto 1860 de 2021.</t>
  </si>
  <si>
    <t>Valor Garantía - Personas Discapacidad</t>
  </si>
  <si>
    <t>500 SMMLV para emprendimientos/empresas de personas con discapacidad o empleadores de personas con discapacidad.</t>
  </si>
  <si>
    <t>LEYENDA Y TIPOS DE REQUERIMIENTOS</t>
  </si>
  <si>
    <t>Requisito mínimo obligatorio para participar (Sección 5 del pliego). Su incumplimiento implica rechazo o no habilitación.</t>
  </si>
  <si>
    <t>Criterio que otorga puntaje en la evaluación (Sección 7). No es de obligatorio cumplimiento, pero da ventaja competitiva.</t>
  </si>
  <si>
    <t>Documento, formato, anexo o certificado que debe presentarse con la oferta.</t>
  </si>
  <si>
    <t>Pólizas o garantías exigidas (seriedad de la oferta, cumplimiento, etc.)</t>
  </si>
  <si>
    <t>Estado de cumplimiento</t>
  </si>
  <si>
    <t>Acción</t>
  </si>
  <si>
    <t>Sí</t>
  </si>
  <si>
    <t>El proponente cumple con el requerimiento y dispone del documento/evidencia.</t>
  </si>
  <si>
    <t>No</t>
  </si>
  <si>
    <t>El proponente NO cumple — requiere acción inmediata.</t>
  </si>
  <si>
    <t>Cumple parcialmente. Verificar qué falta y completar.</t>
  </si>
  <si>
    <t>Por revisar / aún no evaluado.</t>
  </si>
  <si>
    <t>INDICADORES DE CAPACIDAD FINANCIERA Y ORGANIZACIONAL (Sección 5.2)</t>
  </si>
  <si>
    <t>Tabla 6 — Indicadores de Capacidad Financiera (Numeral 5.2.1)</t>
  </si>
  <si>
    <t>Indicador</t>
  </si>
  <si>
    <t>Fórmula</t>
  </si>
  <si>
    <t>Umbral exigido</t>
  </si>
  <si>
    <t>Mi resultado</t>
  </si>
  <si>
    <t>Excepción / Notas</t>
  </si>
  <si>
    <t>Índice de Liquidez</t>
  </si>
  <si>
    <t>Activo Corriente / Pasivo Corriente</t>
  </si>
  <si>
    <t>≥ 1,13</t>
  </si>
  <si>
    <t>Sin pasivos corrientes → habilitado automáticamente</t>
  </si>
  <si>
    <t>Nivel de Endeudamiento</t>
  </si>
  <si>
    <t>Pasivo Total / Activo Total</t>
  </si>
  <si>
    <t>≤ 0,84</t>
  </si>
  <si>
    <t>Plurales: ponderado por % de participación</t>
  </si>
  <si>
    <t>Razón de Cobertura de Intereses</t>
  </si>
  <si>
    <t>Utilidad Operacional / Gastos de Intereses</t>
  </si>
  <si>
    <t>≥ 1,00</t>
  </si>
  <si>
    <t>Sin gastos de intereses → habilitado automáticamente</t>
  </si>
  <si>
    <t>Tabla 7 — Indicadores de Capacidad Organizacional (Numeral 5.2.2)</t>
  </si>
  <si>
    <t>Rentabilidad sobre Activos (ROA)</t>
  </si>
  <si>
    <t>Utilidad Operacional / Activo Total</t>
  </si>
  <si>
    <t>≥ 0,03</t>
  </si>
  <si>
    <t>Rentabilidad sobre Patrimonio (ROE)</t>
  </si>
  <si>
    <t>Utilidad Operacional / Patrimonio</t>
  </si>
  <si>
    <t>≥ 0,01</t>
  </si>
  <si>
    <t>Patrimonio = 0 → NO cumple</t>
  </si>
  <si>
    <t>Fórmula proponentes plurales: Indicador = Σ(Componente1ᵢ × %participaciónᵢ) / Σ(Componente2ᵢ × %participaciónᵢ)</t>
  </si>
  <si>
    <t>EXPERIENCIA REQUERIDA POR SEGMENTO (Tabla 8 — Numeral 5.3)</t>
  </si>
  <si>
    <t>Por cada segmento al que se presente: ≥ 5 códigos UNSPSC y máx. 10 contratos en el RUP</t>
  </si>
  <si>
    <t>Segmento</t>
  </si>
  <si>
    <t>Nombre</t>
  </si>
  <si>
    <t>SMMLV mínimos</t>
  </si>
  <si>
    <t>Tecnologías incluidas</t>
  </si>
  <si>
    <t>Mi experiencia (SMMLV)</t>
  </si>
  <si>
    <t>Seguridad de Infraestructura y Red</t>
  </si>
  <si>
    <t>NGFW; IPS/IDS; SD-WAN; Anti-DDoS; Bot Defense; Sandbox/ATP; Proxy/SWG; Anti-Spam/Anti-Phishing; NAC; ADC/Balanceo; OT/ICS; 5G/OT Security; LAN/WAN/Edge Mgmt; Microsegmentación; Firewall de BD</t>
  </si>
  <si>
    <t>Seguridad de Endpoints y Dispositivos</t>
  </si>
  <si>
    <t>EPP; EDR; MTD/EMM; IoT/OT Endpoint; Patching/Prioritization</t>
  </si>
  <si>
    <t>Gestión de Identidades y Accesos (IAM/PAM)</t>
  </si>
  <si>
    <t>MFA/SSO/Federation; IGA/PAM; VPN/SDP/ZTNA; Identity Governance/Risk</t>
  </si>
  <si>
    <t>Protección de Datos y Continuidad</t>
  </si>
  <si>
    <t>Encryption/Tokenization/KMS; PKI/HSM; Certificados/Firma Digital; DLP; Backup/Restore/Immutable; DR/Site Recovery; Cyber Resilience; Data Governance; PQC</t>
  </si>
  <si>
    <t>Seguridad en la Nube y Aplicaciones</t>
  </si>
  <si>
    <t>CSPM; CNAPP; CWPP; WAF; API Security; CASB/Email/Collab; DevSecOps/IaC/CI-CD; SASE/SSE; Cloud-Native Visibility; CDN; AI Security; Blockchain/Web3</t>
  </si>
  <si>
    <t>Monitoreo, Orquestación y Automatización</t>
  </si>
  <si>
    <t>Vulnerability Mgmt; SIEM; SOAR; XDR; Threat Intelligence; Dashboards/KPIs; AI/Behavioral Detection; AI/ML/Correlación; Deception/Honeypots; BAS; Consolas/Políticas/Logs</t>
  </si>
  <si>
    <t>Servicios Gestionados y Operaciones de Seguridad</t>
  </si>
  <si>
    <t>SOC-as-a-Service; MDR/XDR Gestionado; DFIR/Forense Digital; Servicios Profesionales; Threat Hunting; NOC/CNOC</t>
  </si>
  <si>
    <t>Consultoría y Gobierno en Ciberseguridad</t>
  </si>
  <si>
    <t>GRC/Riesgos/NIST/ISO; Pentesting/Red Team; Assessment/Hardening; Awareness/Capacitación</t>
  </si>
  <si>
    <t>(si presenta a varios segmentos sumar)</t>
  </si>
  <si>
    <t>Códigos UNSPSC del proceso (mínimo 5 a acreditar)</t>
  </si>
  <si>
    <t>Código</t>
  </si>
  <si>
    <t>Familia / Descripción</t>
  </si>
  <si>
    <t>43222500</t>
  </si>
  <si>
    <t>Equipos de Seguridad de la red</t>
  </si>
  <si>
    <t>43222600</t>
  </si>
  <si>
    <t>Equipos de servicio de red</t>
  </si>
  <si>
    <t>43231500</t>
  </si>
  <si>
    <t>Software funcional de empresa</t>
  </si>
  <si>
    <t>43233000</t>
  </si>
  <si>
    <t>Software de entorno corporativo</t>
  </si>
  <si>
    <t>43233200</t>
  </si>
  <si>
    <t>Software de Seguridad y Protección</t>
  </si>
  <si>
    <t>43233400</t>
  </si>
  <si>
    <t>Software de controladores de dispositivos y utilidades</t>
  </si>
  <si>
    <t>43233500</t>
  </si>
  <si>
    <t>Software de intercambio de información</t>
  </si>
  <si>
    <t>43233700</t>
  </si>
  <si>
    <t>Software de manejo de sistemas de empresas</t>
  </si>
  <si>
    <t>80101600</t>
  </si>
  <si>
    <t>Gerencia de proyectos</t>
  </si>
  <si>
    <t>81111500</t>
  </si>
  <si>
    <t>Ingeniería de Hardware y Software</t>
  </si>
  <si>
    <t>81111700</t>
  </si>
  <si>
    <t>Sistemas de manejo de información</t>
  </si>
  <si>
    <t>81111800</t>
  </si>
  <si>
    <t>Servicios de sistemas y administración de componentes de sistemas</t>
  </si>
  <si>
    <t>81111900</t>
  </si>
  <si>
    <t>Sistemas de recuperación de información</t>
  </si>
  <si>
    <t>81112200</t>
  </si>
  <si>
    <t>Mantenimiento y soporte de software</t>
  </si>
  <si>
    <t>81161500</t>
  </si>
  <si>
    <t>Servicios de administración de accesos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</si>
</sst>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 SMMLV&quot;"/>
  </numFmts>
  <fonts count="11" x14ac:knownFonts="1">
    <font>
      <sz val="11"/>
      <color theme="1"/>
      <name val="Calibri"/>
      <family val="2"/>
      <charset val="1"/>
    </font>
    <font>
      <b/>
      <sz val="16"/>
      <color rgb="FFFFFFFF"/>
      <name val="Arial"/>
      <family val="2"/>
    </font>
    <font>
      <i/>
      <sz val="11"/>
      <color rgb="FF1F4E78"/>
      <name val="Arial"/>
      <family val="2"/>
    </font>
    <font>
      <b/>
      <sz val="11"/>
      <name val="Arial"/>
      <family val="2"/>
    </font>
    <font>
      <b/>
      <sz val="12"/>
      <color rgb="FF1F4E78"/>
      <name val="Arial"/>
      <family val="2"/>
    </font>
    <font>
      <sz val="10"/>
      <name val="Arial"/>
      <family val="2"/>
    </font>
    <font>
      <b/>
      <sz val="11"/>
      <color rgb="FF1F4E78"/>
      <name val="Arial"/>
      <family val="2"/>
    </font>
    <font>
      <b/>
      <sz val="11"/>
      <color rgb="FFFFFFFF"/>
      <name val="Arial"/>
      <family val="2"/>
    </font>
    <font>
      <b/>
      <sz val="10"/>
      <name val="Arial"/>
      <family val="2"/>
    </font>
    <font>
      <i/>
      <sz val="9"/>
      <color rgb="FF595959"/>
      <name val="Arial"/>
      <family val="2"/>
    </font>
    <font>
      <i/>
      <sz val="10"/>
      <color rgb="FF1F4E78"/>
      <name val="Arial"/>
      <family val="2"/>
    </font>
  </fonts>
  <fills count="13">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2F2F2"/>
        <bgColor rgb="FFE2EFDA"/>
      </patternFill>
    </fill>
    <fill>
      <patternFill patternType="solid">
        <fgColor rgb="FFFFF2CC"/>
        <bgColor rgb="FFFCE4D6"/>
      </patternFill>
    </fill>
    <fill>
      <patternFill patternType="solid">
        <fgColor rgb="FFDDEBF7"/>
        <bgColor rgb="FFE2EFDA"/>
      </patternFill>
    </fill>
    <fill>
      <patternFill patternType="solid">
        <fgColor rgb="FFE2EFDA"/>
        <bgColor rgb="FFDDEBF7"/>
      </patternFill>
    </fill>
    <fill>
      <patternFill patternType="solid">
        <fgColor rgb="FFFCE4D6"/>
        <bgColor rgb="FFFFF2CC"/>
      </patternFill>
    </fill>
    <fill>
      <patternFill patternType="solid">
        <fgColor rgb="FFC6EFCE"/>
        <bgColor rgb="FFE2EFDA"/>
      </patternFill>
    </fill>
    <fill>
      <patternFill patternType="solid">
        <fgColor rgb="FFFFC7CE"/>
        <bgColor rgb="FFFCE4D6"/>
      </patternFill>
    </fill>
    <fill>
      <patternFill patternType="solid">
        <fgColor rgb="FFFFEB9C"/>
        <bgColor rgb="FFFFF2CC"/>
      </patternFill>
    </fill>
    <fill>
      <patternFill patternType="solid">
        <fgColor rgb="FFD9D9D9"/>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10" fillId="0" borderId="0" xfId="0" applyFont="1" applyAlignment="1">
      <alignment horizontal="center" vertical="center" wrapText="1"/>
    </xf>
    <xf numFmtId="0" fontId="9" fillId="0" borderId="0" xfId="0" applyFont="1" applyAlignment="1">
      <alignment horizontal="lef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4" fillId="0" borderId="0" xfId="0" applyFont="1"/>
    <xf numFmtId="0" fontId="5" fillId="0" borderId="0" xfId="0" applyFont="1" applyAlignment="1">
      <alignment horizontal="left" vertical="center" wrapText="1"/>
    </xf>
    <xf numFmtId="0" fontId="6" fillId="0" borderId="0" xfId="0" applyFont="1" applyAlignment="1">
      <alignment horizontal="center" vertical="center" wrapText="1"/>
    </xf>
    <xf numFmtId="0" fontId="7"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164" fontId="8" fillId="5" borderId="1" xfId="0" applyNumberFormat="1" applyFont="1" applyFill="1" applyBorder="1" applyAlignment="1">
      <alignment horizontal="center" vertical="center" wrapText="1"/>
    </xf>
    <xf numFmtId="0" fontId="5" fillId="0" borderId="1" xfId="0" applyFont="1" applyBorder="1" applyAlignment="1">
      <alignment horizontal="left" vertical="top"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165" fontId="5" fillId="0" borderId="1" xfId="0" applyNumberFormat="1" applyFont="1" applyBorder="1" applyAlignment="1">
      <alignment horizontal="center" vertical="center" wrapText="1"/>
    </xf>
    <xf numFmtId="3" fontId="5" fillId="0" borderId="1" xfId="0" applyNumberFormat="1" applyFont="1" applyBorder="1" applyAlignment="1">
      <alignment horizontal="left" vertical="top" wrapText="1"/>
    </xf>
    <xf numFmtId="0" fontId="5" fillId="4" borderId="1" xfId="0" applyFont="1" applyFill="1" applyBorder="1" applyAlignment="1">
      <alignment horizontal="left" vertical="top" wrapText="1"/>
    </xf>
    <xf numFmtId="165" fontId="5" fillId="4" borderId="1" xfId="0" applyNumberFormat="1" applyFont="1" applyFill="1" applyBorder="1" applyAlignment="1">
      <alignment horizontal="center" vertical="center" wrapText="1"/>
    </xf>
    <xf numFmtId="3" fontId="5" fillId="4" borderId="1" xfId="0" applyNumberFormat="1" applyFont="1" applyFill="1" applyBorder="1" applyAlignment="1">
      <alignment horizontal="left" vertical="top" wrapText="1"/>
    </xf>
    <xf numFmtId="0" fontId="8" fillId="5" borderId="1" xfId="0" applyFont="1" applyFill="1" applyBorder="1"/>
    <xf numFmtId="0" fontId="9" fillId="5" borderId="1" xfId="0" applyFont="1" applyFill="1" applyBorder="1"/>
    <xf numFmtId="165" fontId="8" fillId="5" borderId="1" xfId="0" applyNumberFormat="1" applyFont="1" applyFill="1" applyBorder="1"/>
    <xf numFmtId="0" fontId="0" fillId="5" borderId="1" xfId="0" applyFill="1" applyBorder="1"/>
    <xf numFmtId="3" fontId="8" fillId="5" borderId="1" xfId="0" applyNumberFormat="1" applyFont="1" applyFill="1" applyBorder="1"/>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cellXfs>
  <cellStyles count="1">
    <cellStyle name="Normal" xfId="0" builtinId="0"/>
  </cellStyles>
  <dxfs count="12">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CE4D6"/>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zoomScaleNormal="100" workbookViewId="0">
      <selection sqref="A1:D1"/>
    </sheetView>
  </sheetViews>
  <sheetFormatPr baseColWidth="10" defaultColWidth="8.6640625" defaultRowHeight="15" x14ac:dyDescent="0.2"/>
  <cols>
    <col min="1" max="1" width="45" customWidth="1"/>
    <col min="2" max="3" width="16" customWidth="1"/>
    <col min="4" max="4" width="30" customWidth="1"/>
  </cols>
  <sheetData>
    <row r="1" spans="1:4" ht="27.75" customHeight="1" x14ac:dyDescent="0.2">
      <c r="A1" s="5" t="s">
        <v>0</v>
      </c>
      <c r="B1" s="5"/>
      <c r="C1" s="5"/>
      <c r="D1" s="5"/>
    </row>
    <row r="2" spans="1:4" ht="15" customHeight="1" x14ac:dyDescent="0.2">
      <c r="A2" s="4" t="s">
        <v>1</v>
      </c>
      <c r="B2" s="4"/>
      <c r="C2" s="4"/>
      <c r="D2" s="4"/>
    </row>
    <row r="3" spans="1:4" ht="15" customHeight="1" x14ac:dyDescent="0.2">
      <c r="A3" s="3" t="s">
        <v>2</v>
      </c>
      <c r="B3" s="3"/>
      <c r="C3" s="3"/>
      <c r="D3" s="3"/>
    </row>
    <row r="5" spans="1:4" ht="16" x14ac:dyDescent="0.2">
      <c r="A5" s="6" t="s">
        <v>3</v>
      </c>
    </row>
    <row r="6" spans="1:4" x14ac:dyDescent="0.2">
      <c r="A6" s="7" t="s">
        <v>4</v>
      </c>
      <c r="B6" s="8">
        <v>107</v>
      </c>
    </row>
    <row r="7" spans="1:4" x14ac:dyDescent="0.2">
      <c r="A7" s="7" t="s">
        <v>5</v>
      </c>
      <c r="B7" s="8">
        <v>44</v>
      </c>
    </row>
    <row r="8" spans="1:4" x14ac:dyDescent="0.2">
      <c r="A8" s="7" t="s">
        <v>6</v>
      </c>
      <c r="B8" s="8">
        <v>12</v>
      </c>
    </row>
    <row r="9" spans="1:4" x14ac:dyDescent="0.2">
      <c r="A9" s="7" t="s">
        <v>7</v>
      </c>
      <c r="B9" s="8">
        <v>44</v>
      </c>
    </row>
    <row r="10" spans="1:4" x14ac:dyDescent="0.2">
      <c r="A10" s="7" t="s">
        <v>8</v>
      </c>
      <c r="B10" s="8">
        <v>7</v>
      </c>
    </row>
    <row r="11" spans="1:4" x14ac:dyDescent="0.2">
      <c r="A11" s="7" t="s">
        <v>9</v>
      </c>
      <c r="B11" s="8">
        <v>22</v>
      </c>
    </row>
    <row r="13" spans="1:4" ht="16" x14ac:dyDescent="0.2">
      <c r="A13" s="6" t="s">
        <v>10</v>
      </c>
    </row>
    <row r="14" spans="1:4" x14ac:dyDescent="0.2">
      <c r="A14" s="9" t="s">
        <v>11</v>
      </c>
      <c r="B14" s="9" t="s">
        <v>12</v>
      </c>
      <c r="C14" s="9" t="s">
        <v>13</v>
      </c>
    </row>
    <row r="15" spans="1:4" x14ac:dyDescent="0.2">
      <c r="A15" s="10" t="s">
        <v>14</v>
      </c>
      <c r="B15" s="11">
        <v>22</v>
      </c>
      <c r="C15" s="12">
        <f t="shared" ref="C15:C29" si="0">B15/107</f>
        <v>0.20560747663551401</v>
      </c>
    </row>
    <row r="16" spans="1:4" x14ac:dyDescent="0.2">
      <c r="A16" s="13" t="s">
        <v>15</v>
      </c>
      <c r="B16" s="14">
        <v>18</v>
      </c>
      <c r="C16" s="15">
        <f t="shared" si="0"/>
        <v>0.16822429906542055</v>
      </c>
    </row>
    <row r="17" spans="1:3" x14ac:dyDescent="0.2">
      <c r="A17" s="10" t="s">
        <v>16</v>
      </c>
      <c r="B17" s="11">
        <v>17</v>
      </c>
      <c r="C17" s="12">
        <f t="shared" si="0"/>
        <v>0.15887850467289719</v>
      </c>
    </row>
    <row r="18" spans="1:3" x14ac:dyDescent="0.2">
      <c r="A18" s="13" t="s">
        <v>17</v>
      </c>
      <c r="B18" s="14">
        <v>13</v>
      </c>
      <c r="C18" s="15">
        <f t="shared" si="0"/>
        <v>0.12149532710280374</v>
      </c>
    </row>
    <row r="19" spans="1:3" x14ac:dyDescent="0.2">
      <c r="A19" s="10" t="s">
        <v>18</v>
      </c>
      <c r="B19" s="11">
        <v>9</v>
      </c>
      <c r="C19" s="12">
        <f t="shared" si="0"/>
        <v>8.4112149532710276E-2</v>
      </c>
    </row>
    <row r="20" spans="1:3" x14ac:dyDescent="0.2">
      <c r="A20" s="13" t="s">
        <v>19</v>
      </c>
      <c r="B20" s="14">
        <v>5</v>
      </c>
      <c r="C20" s="15">
        <f t="shared" si="0"/>
        <v>4.6728971962616821E-2</v>
      </c>
    </row>
    <row r="21" spans="1:3" x14ac:dyDescent="0.2">
      <c r="A21" s="10" t="s">
        <v>20</v>
      </c>
      <c r="B21" s="11">
        <v>5</v>
      </c>
      <c r="C21" s="12">
        <f t="shared" si="0"/>
        <v>4.6728971962616821E-2</v>
      </c>
    </row>
    <row r="22" spans="1:3" x14ac:dyDescent="0.2">
      <c r="A22" s="13" t="s">
        <v>21</v>
      </c>
      <c r="B22" s="14">
        <v>4</v>
      </c>
      <c r="C22" s="15">
        <f t="shared" si="0"/>
        <v>3.7383177570093455E-2</v>
      </c>
    </row>
    <row r="23" spans="1:3" x14ac:dyDescent="0.2">
      <c r="A23" s="10" t="s">
        <v>22</v>
      </c>
      <c r="B23" s="11">
        <v>3</v>
      </c>
      <c r="C23" s="12">
        <f t="shared" si="0"/>
        <v>2.8037383177570093E-2</v>
      </c>
    </row>
    <row r="24" spans="1:3" x14ac:dyDescent="0.2">
      <c r="A24" s="13" t="s">
        <v>23</v>
      </c>
      <c r="B24" s="14">
        <v>3</v>
      </c>
      <c r="C24" s="15">
        <f t="shared" si="0"/>
        <v>2.8037383177570093E-2</v>
      </c>
    </row>
    <row r="25" spans="1:3" x14ac:dyDescent="0.2">
      <c r="A25" s="10" t="s">
        <v>24</v>
      </c>
      <c r="B25" s="11">
        <v>2</v>
      </c>
      <c r="C25" s="12">
        <f t="shared" si="0"/>
        <v>1.8691588785046728E-2</v>
      </c>
    </row>
    <row r="26" spans="1:3" x14ac:dyDescent="0.2">
      <c r="A26" s="13" t="s">
        <v>25</v>
      </c>
      <c r="B26" s="14">
        <v>2</v>
      </c>
      <c r="C26" s="15">
        <f t="shared" si="0"/>
        <v>1.8691588785046728E-2</v>
      </c>
    </row>
    <row r="27" spans="1:3" x14ac:dyDescent="0.2">
      <c r="A27" s="10" t="s">
        <v>26</v>
      </c>
      <c r="B27" s="11">
        <v>2</v>
      </c>
      <c r="C27" s="12">
        <f t="shared" si="0"/>
        <v>1.8691588785046728E-2</v>
      </c>
    </row>
    <row r="28" spans="1:3" x14ac:dyDescent="0.2">
      <c r="A28" s="13" t="s">
        <v>27</v>
      </c>
      <c r="B28" s="14">
        <v>1</v>
      </c>
      <c r="C28" s="15">
        <f t="shared" si="0"/>
        <v>9.3457943925233638E-3</v>
      </c>
    </row>
    <row r="29" spans="1:3" x14ac:dyDescent="0.2">
      <c r="A29" s="10" t="s">
        <v>28</v>
      </c>
      <c r="B29" s="11">
        <v>1</v>
      </c>
      <c r="C29" s="12">
        <f t="shared" si="0"/>
        <v>9.3457943925233638E-3</v>
      </c>
    </row>
    <row r="30" spans="1:3" x14ac:dyDescent="0.2">
      <c r="A30" s="16" t="s">
        <v>29</v>
      </c>
      <c r="B30" s="17">
        <f>SUM(B15:B29)</f>
        <v>107</v>
      </c>
      <c r="C30" s="18">
        <f>SUM(C15:C29)</f>
        <v>1</v>
      </c>
    </row>
    <row r="32" spans="1:3" ht="16" x14ac:dyDescent="0.2">
      <c r="A32" s="6" t="s">
        <v>30</v>
      </c>
    </row>
    <row r="33" spans="1:4" x14ac:dyDescent="0.2">
      <c r="A33" s="9" t="s">
        <v>31</v>
      </c>
      <c r="B33" s="9" t="s">
        <v>12</v>
      </c>
      <c r="C33" s="9" t="s">
        <v>32</v>
      </c>
    </row>
    <row r="34" spans="1:4" x14ac:dyDescent="0.2">
      <c r="A34" s="10" t="s">
        <v>33</v>
      </c>
      <c r="B34" s="11">
        <f>COUNTIF(Requerimientos!G:G,"Sí")</f>
        <v>0</v>
      </c>
      <c r="C34" s="12">
        <f>IFERROR(B34/107,0)</f>
        <v>0</v>
      </c>
    </row>
    <row r="35" spans="1:4" x14ac:dyDescent="0.2">
      <c r="A35" s="10" t="s">
        <v>34</v>
      </c>
      <c r="B35" s="11">
        <f>COUNTIF(Requerimientos!G:G,"No")</f>
        <v>0</v>
      </c>
      <c r="C35" s="12">
        <f>IFERROR(B35/107,0)</f>
        <v>0</v>
      </c>
    </row>
    <row r="36" spans="1:4" x14ac:dyDescent="0.2">
      <c r="A36" s="10" t="s">
        <v>35</v>
      </c>
      <c r="B36" s="11">
        <f>COUNTIF(Requerimientos!G:G,"Parcial")</f>
        <v>0</v>
      </c>
      <c r="C36" s="12">
        <f>IFERROR(B36/107,0)</f>
        <v>0</v>
      </c>
    </row>
    <row r="37" spans="1:4" x14ac:dyDescent="0.2">
      <c r="A37" s="10" t="s">
        <v>36</v>
      </c>
      <c r="B37" s="11">
        <f>COUNTIF(Requerimientos!G:G,"Pendiente")</f>
        <v>0</v>
      </c>
      <c r="C37" s="12">
        <f>IFERROR(B37/107,0)</f>
        <v>0</v>
      </c>
    </row>
    <row r="40" spans="1:4" ht="15" customHeight="1" x14ac:dyDescent="0.2">
      <c r="A40" s="2" t="s">
        <v>37</v>
      </c>
      <c r="B40" s="2"/>
      <c r="C40" s="2"/>
      <c r="D40" s="2"/>
    </row>
  </sheetData>
  <mergeCells count="4">
    <mergeCell ref="A1:D1"/>
    <mergeCell ref="A2:D2"/>
    <mergeCell ref="A3:D3"/>
    <mergeCell ref="A40:D4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108"/>
  <sheetViews>
    <sheetView tabSelected="1" zoomScaleNormal="100" workbookViewId="0">
      <pane ySplit="1" topLeftCell="A56" activePane="bottomLeft" state="frozen"/>
      <selection pane="bottomLeft" activeCell="C52" sqref="C52"/>
    </sheetView>
  </sheetViews>
  <sheetFormatPr baseColWidth="10" defaultColWidth="8.6640625" defaultRowHeight="15" x14ac:dyDescent="0.2"/>
  <cols>
    <col min="1" max="1" width="6" customWidth="1"/>
    <col min="2" max="2" width="22" customWidth="1"/>
    <col min="3" max="3" width="14" customWidth="1"/>
    <col min="4" max="4" width="13" customWidth="1"/>
    <col min="5" max="5" width="38" customWidth="1"/>
    <col min="6" max="6" width="60" customWidth="1"/>
    <col min="7" max="7" width="12" customWidth="1"/>
    <col min="8" max="8" width="38" customWidth="1"/>
    <col min="9" max="9" width="30" customWidth="1"/>
  </cols>
  <sheetData>
    <row r="1" spans="1:9" ht="30" customHeight="1" x14ac:dyDescent="0.2">
      <c r="A1" s="9" t="s">
        <v>38</v>
      </c>
      <c r="B1" s="9" t="s">
        <v>11</v>
      </c>
      <c r="C1" s="9" t="s">
        <v>39</v>
      </c>
      <c r="D1" s="9" t="s">
        <v>40</v>
      </c>
      <c r="E1" s="9" t="s">
        <v>41</v>
      </c>
      <c r="F1" s="9" t="s">
        <v>42</v>
      </c>
      <c r="G1" s="9" t="s">
        <v>43</v>
      </c>
      <c r="H1" s="9" t="s">
        <v>44</v>
      </c>
      <c r="I1" s="9" t="s">
        <v>45</v>
      </c>
    </row>
    <row r="2" spans="1:9" ht="60" customHeight="1" x14ac:dyDescent="0.2">
      <c r="A2" s="11">
        <v>1</v>
      </c>
      <c r="B2" s="19" t="s">
        <v>16</v>
      </c>
      <c r="C2" s="20" t="s">
        <v>46</v>
      </c>
      <c r="D2" s="11" t="s">
        <v>47</v>
      </c>
      <c r="E2" s="19" t="s">
        <v>48</v>
      </c>
      <c r="F2" s="19" t="s">
        <v>49</v>
      </c>
      <c r="G2" s="11"/>
      <c r="H2" s="19" t="s">
        <v>50</v>
      </c>
      <c r="I2" s="19"/>
    </row>
    <row r="3" spans="1:9" ht="60" customHeight="1" x14ac:dyDescent="0.2">
      <c r="A3" s="11">
        <v>2</v>
      </c>
      <c r="B3" s="19" t="s">
        <v>16</v>
      </c>
      <c r="C3" s="20" t="s">
        <v>46</v>
      </c>
      <c r="D3" s="11" t="s">
        <v>51</v>
      </c>
      <c r="E3" s="19" t="s">
        <v>52</v>
      </c>
      <c r="F3" s="19" t="s">
        <v>53</v>
      </c>
      <c r="G3" s="11"/>
      <c r="H3" s="19" t="s">
        <v>54</v>
      </c>
      <c r="I3" s="19"/>
    </row>
    <row r="4" spans="1:9" ht="60" customHeight="1" x14ac:dyDescent="0.2">
      <c r="A4" s="11">
        <v>3</v>
      </c>
      <c r="B4" s="19" t="s">
        <v>16</v>
      </c>
      <c r="C4" s="20" t="s">
        <v>46</v>
      </c>
      <c r="D4" s="11" t="s">
        <v>55</v>
      </c>
      <c r="E4" s="19" t="s">
        <v>56</v>
      </c>
      <c r="F4" s="19" t="s">
        <v>57</v>
      </c>
      <c r="G4" s="11"/>
      <c r="H4" s="19" t="s">
        <v>58</v>
      </c>
      <c r="I4" s="19"/>
    </row>
    <row r="5" spans="1:9" ht="60" customHeight="1" x14ac:dyDescent="0.2">
      <c r="A5" s="11">
        <v>4</v>
      </c>
      <c r="B5" s="19" t="s">
        <v>16</v>
      </c>
      <c r="C5" s="20" t="s">
        <v>46</v>
      </c>
      <c r="D5" s="11" t="s">
        <v>59</v>
      </c>
      <c r="E5" s="19" t="s">
        <v>60</v>
      </c>
      <c r="F5" s="19" t="s">
        <v>61</v>
      </c>
      <c r="G5" s="11"/>
      <c r="H5" s="19" t="s">
        <v>62</v>
      </c>
      <c r="I5" s="19"/>
    </row>
    <row r="6" spans="1:9" ht="60" customHeight="1" x14ac:dyDescent="0.2">
      <c r="A6" s="11">
        <v>5</v>
      </c>
      <c r="B6" s="19" t="s">
        <v>16</v>
      </c>
      <c r="C6" s="20" t="s">
        <v>46</v>
      </c>
      <c r="D6" s="11" t="s">
        <v>63</v>
      </c>
      <c r="E6" s="19" t="s">
        <v>64</v>
      </c>
      <c r="F6" s="19" t="s">
        <v>65</v>
      </c>
      <c r="G6" s="11"/>
      <c r="H6" s="19" t="s">
        <v>66</v>
      </c>
      <c r="I6" s="19"/>
    </row>
    <row r="7" spans="1:9" ht="60" customHeight="1" x14ac:dyDescent="0.2">
      <c r="A7" s="11">
        <v>6</v>
      </c>
      <c r="B7" s="19" t="s">
        <v>16</v>
      </c>
      <c r="C7" s="20" t="s">
        <v>46</v>
      </c>
      <c r="D7" s="11" t="s">
        <v>67</v>
      </c>
      <c r="E7" s="19" t="s">
        <v>68</v>
      </c>
      <c r="F7" s="19" t="s">
        <v>69</v>
      </c>
      <c r="G7" s="11"/>
      <c r="H7" s="19" t="s">
        <v>70</v>
      </c>
      <c r="I7" s="19"/>
    </row>
    <row r="8" spans="1:9" ht="60" customHeight="1" x14ac:dyDescent="0.2">
      <c r="A8" s="11">
        <v>7</v>
      </c>
      <c r="B8" s="19" t="s">
        <v>16</v>
      </c>
      <c r="C8" s="20" t="s">
        <v>46</v>
      </c>
      <c r="D8" s="11" t="s">
        <v>71</v>
      </c>
      <c r="E8" s="19" t="s">
        <v>72</v>
      </c>
      <c r="F8" s="19" t="s">
        <v>73</v>
      </c>
      <c r="G8" s="11"/>
      <c r="H8" s="19" t="s">
        <v>74</v>
      </c>
      <c r="I8" s="19"/>
    </row>
    <row r="9" spans="1:9" ht="60" customHeight="1" x14ac:dyDescent="0.2">
      <c r="A9" s="11">
        <v>8</v>
      </c>
      <c r="B9" s="19" t="s">
        <v>16</v>
      </c>
      <c r="C9" s="20" t="s">
        <v>46</v>
      </c>
      <c r="D9" s="11" t="s">
        <v>75</v>
      </c>
      <c r="E9" s="19" t="s">
        <v>76</v>
      </c>
      <c r="F9" s="19" t="s">
        <v>77</v>
      </c>
      <c r="G9" s="11"/>
      <c r="H9" s="19" t="s">
        <v>78</v>
      </c>
      <c r="I9" s="19"/>
    </row>
    <row r="10" spans="1:9" ht="60" customHeight="1" x14ac:dyDescent="0.2">
      <c r="A10" s="11">
        <v>9</v>
      </c>
      <c r="B10" s="19" t="s">
        <v>16</v>
      </c>
      <c r="C10" s="20" t="s">
        <v>46</v>
      </c>
      <c r="D10" s="11" t="s">
        <v>79</v>
      </c>
      <c r="E10" s="19" t="s">
        <v>80</v>
      </c>
      <c r="F10" s="19" t="s">
        <v>81</v>
      </c>
      <c r="G10" s="11"/>
      <c r="H10" s="19" t="s">
        <v>82</v>
      </c>
      <c r="I10" s="19"/>
    </row>
    <row r="11" spans="1:9" ht="60" customHeight="1" x14ac:dyDescent="0.2">
      <c r="A11" s="11">
        <v>10</v>
      </c>
      <c r="B11" s="19" t="s">
        <v>19</v>
      </c>
      <c r="C11" s="20" t="s">
        <v>46</v>
      </c>
      <c r="D11" s="11" t="s">
        <v>83</v>
      </c>
      <c r="E11" s="19" t="s">
        <v>84</v>
      </c>
      <c r="F11" s="19" t="s">
        <v>85</v>
      </c>
      <c r="G11" s="11"/>
      <c r="H11" s="19" t="s">
        <v>86</v>
      </c>
      <c r="I11" s="19"/>
    </row>
    <row r="12" spans="1:9" ht="60" customHeight="1" x14ac:dyDescent="0.2">
      <c r="A12" s="11">
        <v>11</v>
      </c>
      <c r="B12" s="19" t="s">
        <v>19</v>
      </c>
      <c r="C12" s="20" t="s">
        <v>46</v>
      </c>
      <c r="D12" s="11" t="s">
        <v>83</v>
      </c>
      <c r="E12" s="19" t="s">
        <v>87</v>
      </c>
      <c r="F12" s="19" t="s">
        <v>88</v>
      </c>
      <c r="G12" s="11"/>
      <c r="H12" s="19" t="s">
        <v>89</v>
      </c>
      <c r="I12" s="19"/>
    </row>
    <row r="13" spans="1:9" ht="60" customHeight="1" x14ac:dyDescent="0.2">
      <c r="A13" s="11">
        <v>12</v>
      </c>
      <c r="B13" s="19" t="s">
        <v>19</v>
      </c>
      <c r="C13" s="20" t="s">
        <v>46</v>
      </c>
      <c r="D13" s="11" t="s">
        <v>90</v>
      </c>
      <c r="E13" s="19" t="s">
        <v>91</v>
      </c>
      <c r="F13" s="19" t="s">
        <v>92</v>
      </c>
      <c r="G13" s="11"/>
      <c r="H13" s="19" t="s">
        <v>93</v>
      </c>
      <c r="I13" s="19"/>
    </row>
    <row r="14" spans="1:9" ht="60" customHeight="1" x14ac:dyDescent="0.2">
      <c r="A14" s="11">
        <v>13</v>
      </c>
      <c r="B14" s="19" t="s">
        <v>19</v>
      </c>
      <c r="C14" s="20" t="s">
        <v>46</v>
      </c>
      <c r="D14" s="11" t="s">
        <v>90</v>
      </c>
      <c r="E14" s="19" t="s">
        <v>94</v>
      </c>
      <c r="F14" s="19" t="s">
        <v>95</v>
      </c>
      <c r="G14" s="11"/>
      <c r="H14" s="19" t="s">
        <v>93</v>
      </c>
      <c r="I14" s="19"/>
    </row>
    <row r="15" spans="1:9" ht="60" customHeight="1" x14ac:dyDescent="0.2">
      <c r="A15" s="11">
        <v>14</v>
      </c>
      <c r="B15" s="19" t="s">
        <v>19</v>
      </c>
      <c r="C15" s="20" t="s">
        <v>46</v>
      </c>
      <c r="D15" s="11" t="s">
        <v>90</v>
      </c>
      <c r="E15" s="19" t="s">
        <v>96</v>
      </c>
      <c r="F15" s="19" t="s">
        <v>97</v>
      </c>
      <c r="G15" s="11"/>
      <c r="H15" s="19" t="s">
        <v>93</v>
      </c>
      <c r="I15" s="19"/>
    </row>
    <row r="16" spans="1:9" ht="60" customHeight="1" x14ac:dyDescent="0.2">
      <c r="A16" s="11">
        <v>15</v>
      </c>
      <c r="B16" s="19" t="s">
        <v>24</v>
      </c>
      <c r="C16" s="20" t="s">
        <v>46</v>
      </c>
      <c r="D16" s="11" t="s">
        <v>98</v>
      </c>
      <c r="E16" s="19" t="s">
        <v>99</v>
      </c>
      <c r="F16" s="19" t="s">
        <v>100</v>
      </c>
      <c r="G16" s="11"/>
      <c r="H16" s="19" t="s">
        <v>101</v>
      </c>
      <c r="I16" s="19"/>
    </row>
    <row r="17" spans="1:9" ht="60" customHeight="1" x14ac:dyDescent="0.2">
      <c r="A17" s="11">
        <v>16</v>
      </c>
      <c r="B17" s="19" t="s">
        <v>24</v>
      </c>
      <c r="C17" s="20" t="s">
        <v>46</v>
      </c>
      <c r="D17" s="11" t="s">
        <v>98</v>
      </c>
      <c r="E17" s="19" t="s">
        <v>102</v>
      </c>
      <c r="F17" s="19" t="s">
        <v>103</v>
      </c>
      <c r="G17" s="11"/>
      <c r="H17" s="19" t="s">
        <v>101</v>
      </c>
      <c r="I17" s="19"/>
    </row>
    <row r="18" spans="1:9" ht="60" customHeight="1" x14ac:dyDescent="0.2">
      <c r="A18" s="11">
        <v>17</v>
      </c>
      <c r="B18" s="19" t="s">
        <v>15</v>
      </c>
      <c r="C18" s="20" t="s">
        <v>46</v>
      </c>
      <c r="D18" s="11" t="s">
        <v>104</v>
      </c>
      <c r="E18" s="19" t="s">
        <v>105</v>
      </c>
      <c r="F18" s="19" t="s">
        <v>106</v>
      </c>
      <c r="G18" s="11"/>
      <c r="H18" s="19" t="s">
        <v>107</v>
      </c>
      <c r="I18" s="19"/>
    </row>
    <row r="19" spans="1:9" ht="60" customHeight="1" x14ac:dyDescent="0.2">
      <c r="A19" s="11">
        <v>18</v>
      </c>
      <c r="B19" s="19" t="s">
        <v>15</v>
      </c>
      <c r="C19" s="20" t="s">
        <v>46</v>
      </c>
      <c r="D19" s="11" t="s">
        <v>108</v>
      </c>
      <c r="E19" s="19" t="s">
        <v>109</v>
      </c>
      <c r="F19" s="19" t="s">
        <v>110</v>
      </c>
      <c r="G19" s="11"/>
      <c r="H19" s="19" t="s">
        <v>111</v>
      </c>
      <c r="I19" s="19"/>
    </row>
    <row r="20" spans="1:9" ht="60" customHeight="1" x14ac:dyDescent="0.2">
      <c r="A20" s="11">
        <v>19</v>
      </c>
      <c r="B20" s="19" t="s">
        <v>15</v>
      </c>
      <c r="C20" s="20" t="s">
        <v>46</v>
      </c>
      <c r="D20" s="11" t="s">
        <v>112</v>
      </c>
      <c r="E20" s="19" t="s">
        <v>113</v>
      </c>
      <c r="F20" s="19" t="s">
        <v>114</v>
      </c>
      <c r="G20" s="11"/>
      <c r="H20" s="19" t="s">
        <v>115</v>
      </c>
      <c r="I20" s="19"/>
    </row>
    <row r="21" spans="1:9" ht="60" customHeight="1" x14ac:dyDescent="0.2">
      <c r="A21" s="11">
        <v>20</v>
      </c>
      <c r="B21" s="19" t="s">
        <v>15</v>
      </c>
      <c r="C21" s="20" t="s">
        <v>46</v>
      </c>
      <c r="D21" s="11" t="s">
        <v>116</v>
      </c>
      <c r="E21" s="19" t="s">
        <v>117</v>
      </c>
      <c r="F21" s="19" t="s">
        <v>118</v>
      </c>
      <c r="G21" s="11"/>
      <c r="H21" s="19" t="s">
        <v>119</v>
      </c>
      <c r="I21" s="19"/>
    </row>
    <row r="22" spans="1:9" ht="60" customHeight="1" x14ac:dyDescent="0.2">
      <c r="A22" s="11">
        <v>21</v>
      </c>
      <c r="B22" s="19" t="s">
        <v>15</v>
      </c>
      <c r="C22" s="20" t="s">
        <v>46</v>
      </c>
      <c r="D22" s="11" t="s">
        <v>120</v>
      </c>
      <c r="E22" s="19" t="s">
        <v>121</v>
      </c>
      <c r="F22" s="19" t="s">
        <v>122</v>
      </c>
      <c r="G22" s="11"/>
      <c r="H22" s="19" t="s">
        <v>115</v>
      </c>
      <c r="I22" s="19"/>
    </row>
    <row r="23" spans="1:9" ht="60" customHeight="1" x14ac:dyDescent="0.2">
      <c r="A23" s="11">
        <v>22</v>
      </c>
      <c r="B23" s="19" t="s">
        <v>15</v>
      </c>
      <c r="C23" s="20" t="s">
        <v>46</v>
      </c>
      <c r="D23" s="11" t="s">
        <v>123</v>
      </c>
      <c r="E23" s="19" t="s">
        <v>124</v>
      </c>
      <c r="F23" s="19" t="s">
        <v>125</v>
      </c>
      <c r="G23" s="11"/>
      <c r="H23" s="19" t="s">
        <v>115</v>
      </c>
      <c r="I23" s="19"/>
    </row>
    <row r="24" spans="1:9" ht="60" customHeight="1" x14ac:dyDescent="0.2">
      <c r="A24" s="11">
        <v>23</v>
      </c>
      <c r="B24" s="19" t="s">
        <v>15</v>
      </c>
      <c r="C24" s="20" t="s">
        <v>46</v>
      </c>
      <c r="D24" s="11" t="s">
        <v>126</v>
      </c>
      <c r="E24" s="19" t="s">
        <v>127</v>
      </c>
      <c r="F24" s="19" t="s">
        <v>128</v>
      </c>
      <c r="G24" s="11"/>
      <c r="H24" s="19" t="s">
        <v>115</v>
      </c>
      <c r="I24" s="19"/>
    </row>
    <row r="25" spans="1:9" ht="60" customHeight="1" x14ac:dyDescent="0.2">
      <c r="A25" s="11">
        <v>24</v>
      </c>
      <c r="B25" s="19" t="s">
        <v>15</v>
      </c>
      <c r="C25" s="20" t="s">
        <v>46</v>
      </c>
      <c r="D25" s="11" t="s">
        <v>129</v>
      </c>
      <c r="E25" s="19" t="s">
        <v>130</v>
      </c>
      <c r="F25" s="19" t="s">
        <v>131</v>
      </c>
      <c r="G25" s="11"/>
      <c r="H25" s="19" t="s">
        <v>115</v>
      </c>
      <c r="I25" s="19"/>
    </row>
    <row r="26" spans="1:9" ht="60" customHeight="1" x14ac:dyDescent="0.2">
      <c r="A26" s="11">
        <v>25</v>
      </c>
      <c r="B26" s="19" t="s">
        <v>15</v>
      </c>
      <c r="C26" s="20" t="s">
        <v>46</v>
      </c>
      <c r="D26" s="11" t="s">
        <v>132</v>
      </c>
      <c r="E26" s="19" t="s">
        <v>133</v>
      </c>
      <c r="F26" s="19" t="s">
        <v>134</v>
      </c>
      <c r="G26" s="11"/>
      <c r="H26" s="19" t="s">
        <v>115</v>
      </c>
      <c r="I26" s="19"/>
    </row>
    <row r="27" spans="1:9" ht="60" customHeight="1" x14ac:dyDescent="0.2">
      <c r="A27" s="11">
        <v>26</v>
      </c>
      <c r="B27" s="19" t="s">
        <v>15</v>
      </c>
      <c r="C27" s="20" t="s">
        <v>46</v>
      </c>
      <c r="D27" s="11" t="s">
        <v>135</v>
      </c>
      <c r="E27" s="19" t="s">
        <v>136</v>
      </c>
      <c r="F27" s="19" t="s">
        <v>137</v>
      </c>
      <c r="G27" s="11"/>
      <c r="H27" s="19" t="s">
        <v>115</v>
      </c>
      <c r="I27" s="19"/>
    </row>
    <row r="28" spans="1:9" ht="60" customHeight="1" x14ac:dyDescent="0.2">
      <c r="A28" s="11">
        <v>27</v>
      </c>
      <c r="B28" s="19" t="s">
        <v>15</v>
      </c>
      <c r="C28" s="20" t="s">
        <v>46</v>
      </c>
      <c r="D28" s="11" t="s">
        <v>138</v>
      </c>
      <c r="E28" s="19" t="s">
        <v>139</v>
      </c>
      <c r="F28" s="19" t="s">
        <v>140</v>
      </c>
      <c r="G28" s="11"/>
      <c r="H28" s="19" t="s">
        <v>115</v>
      </c>
      <c r="I28" s="19"/>
    </row>
    <row r="29" spans="1:9" ht="60" customHeight="1" x14ac:dyDescent="0.2">
      <c r="A29" s="11">
        <v>28</v>
      </c>
      <c r="B29" s="19" t="s">
        <v>15</v>
      </c>
      <c r="C29" s="20" t="s">
        <v>46</v>
      </c>
      <c r="D29" s="11" t="s">
        <v>141</v>
      </c>
      <c r="E29" s="19" t="s">
        <v>142</v>
      </c>
      <c r="F29" s="19" t="s">
        <v>143</v>
      </c>
      <c r="G29" s="11"/>
      <c r="H29" s="19" t="s">
        <v>115</v>
      </c>
      <c r="I29" s="19"/>
    </row>
    <row r="30" spans="1:9" ht="60" customHeight="1" x14ac:dyDescent="0.2">
      <c r="A30" s="11">
        <v>29</v>
      </c>
      <c r="B30" s="19" t="s">
        <v>15</v>
      </c>
      <c r="C30" s="20" t="s">
        <v>46</v>
      </c>
      <c r="D30" s="11" t="s">
        <v>144</v>
      </c>
      <c r="E30" s="19" t="s">
        <v>145</v>
      </c>
      <c r="F30" s="19" t="s">
        <v>146</v>
      </c>
      <c r="G30" s="11"/>
      <c r="H30" s="19" t="s">
        <v>119</v>
      </c>
      <c r="I30" s="19"/>
    </row>
    <row r="31" spans="1:9" ht="60" customHeight="1" x14ac:dyDescent="0.2">
      <c r="A31" s="11">
        <v>30</v>
      </c>
      <c r="B31" s="19" t="s">
        <v>15</v>
      </c>
      <c r="C31" s="20" t="s">
        <v>46</v>
      </c>
      <c r="D31" s="11" t="s">
        <v>144</v>
      </c>
      <c r="E31" s="19" t="s">
        <v>147</v>
      </c>
      <c r="F31" s="19" t="s">
        <v>148</v>
      </c>
      <c r="G31" s="11"/>
      <c r="H31" s="19" t="s">
        <v>149</v>
      </c>
      <c r="I31" s="19"/>
    </row>
    <row r="32" spans="1:9" ht="60" customHeight="1" x14ac:dyDescent="0.2">
      <c r="A32" s="11">
        <v>31</v>
      </c>
      <c r="B32" s="19" t="s">
        <v>15</v>
      </c>
      <c r="C32" s="20" t="s">
        <v>46</v>
      </c>
      <c r="D32" s="11" t="s">
        <v>150</v>
      </c>
      <c r="E32" s="19" t="s">
        <v>151</v>
      </c>
      <c r="F32" s="19" t="s">
        <v>152</v>
      </c>
      <c r="G32" s="11"/>
      <c r="H32" s="19" t="s">
        <v>153</v>
      </c>
      <c r="I32" s="19"/>
    </row>
    <row r="33" spans="1:9" ht="60" customHeight="1" x14ac:dyDescent="0.2">
      <c r="A33" s="11">
        <v>32</v>
      </c>
      <c r="B33" s="19" t="s">
        <v>15</v>
      </c>
      <c r="C33" s="20" t="s">
        <v>46</v>
      </c>
      <c r="D33" s="11" t="s">
        <v>154</v>
      </c>
      <c r="E33" s="19" t="s">
        <v>155</v>
      </c>
      <c r="F33" s="19" t="s">
        <v>156</v>
      </c>
      <c r="G33" s="11"/>
      <c r="H33" s="19" t="s">
        <v>157</v>
      </c>
      <c r="I33" s="19"/>
    </row>
    <row r="34" spans="1:9" ht="60" customHeight="1" x14ac:dyDescent="0.2">
      <c r="A34" s="11">
        <v>33</v>
      </c>
      <c r="B34" s="19" t="s">
        <v>15</v>
      </c>
      <c r="C34" s="20" t="s">
        <v>46</v>
      </c>
      <c r="D34" s="11" t="s">
        <v>158</v>
      </c>
      <c r="E34" s="19" t="s">
        <v>159</v>
      </c>
      <c r="F34" s="19" t="s">
        <v>160</v>
      </c>
      <c r="G34" s="11"/>
      <c r="H34" s="19" t="s">
        <v>78</v>
      </c>
      <c r="I34" s="19"/>
    </row>
    <row r="35" spans="1:9" ht="60" customHeight="1" x14ac:dyDescent="0.2">
      <c r="A35" s="11">
        <v>34</v>
      </c>
      <c r="B35" s="19" t="s">
        <v>15</v>
      </c>
      <c r="C35" s="20" t="s">
        <v>46</v>
      </c>
      <c r="D35" s="11" t="s">
        <v>161</v>
      </c>
      <c r="E35" s="19" t="s">
        <v>162</v>
      </c>
      <c r="F35" s="19" t="s">
        <v>163</v>
      </c>
      <c r="G35" s="11"/>
      <c r="H35" s="19" t="s">
        <v>164</v>
      </c>
      <c r="I35" s="19"/>
    </row>
    <row r="36" spans="1:9" ht="60" customHeight="1" x14ac:dyDescent="0.2">
      <c r="A36" s="11">
        <v>35</v>
      </c>
      <c r="B36" s="19" t="s">
        <v>18</v>
      </c>
      <c r="C36" s="20" t="s">
        <v>46</v>
      </c>
      <c r="D36" s="11" t="s">
        <v>165</v>
      </c>
      <c r="E36" s="19" t="s">
        <v>166</v>
      </c>
      <c r="F36" s="19" t="s">
        <v>167</v>
      </c>
      <c r="G36" s="11"/>
      <c r="H36" s="19" t="s">
        <v>168</v>
      </c>
      <c r="I36" s="19"/>
    </row>
    <row r="37" spans="1:9" ht="60" customHeight="1" x14ac:dyDescent="0.2">
      <c r="A37" s="11">
        <v>36</v>
      </c>
      <c r="B37" s="19" t="s">
        <v>18</v>
      </c>
      <c r="C37" s="20" t="s">
        <v>46</v>
      </c>
      <c r="D37" s="11" t="s">
        <v>165</v>
      </c>
      <c r="E37" s="19" t="s">
        <v>169</v>
      </c>
      <c r="F37" s="19" t="s">
        <v>170</v>
      </c>
      <c r="G37" s="11"/>
      <c r="H37" s="19" t="s">
        <v>171</v>
      </c>
      <c r="I37" s="19"/>
    </row>
    <row r="38" spans="1:9" ht="60" customHeight="1" x14ac:dyDescent="0.2">
      <c r="A38" s="11">
        <v>37</v>
      </c>
      <c r="B38" s="19" t="s">
        <v>18</v>
      </c>
      <c r="C38" s="20" t="s">
        <v>46</v>
      </c>
      <c r="D38" s="11" t="s">
        <v>165</v>
      </c>
      <c r="E38" s="19" t="s">
        <v>172</v>
      </c>
      <c r="F38" s="19" t="s">
        <v>173</v>
      </c>
      <c r="G38" s="11"/>
      <c r="H38" s="19" t="s">
        <v>174</v>
      </c>
      <c r="I38" s="19"/>
    </row>
    <row r="39" spans="1:9" ht="60" customHeight="1" x14ac:dyDescent="0.2">
      <c r="A39" s="11">
        <v>38</v>
      </c>
      <c r="B39" s="19" t="s">
        <v>18</v>
      </c>
      <c r="C39" s="20" t="s">
        <v>46</v>
      </c>
      <c r="D39" s="11" t="s">
        <v>165</v>
      </c>
      <c r="E39" s="19" t="s">
        <v>175</v>
      </c>
      <c r="F39" s="19" t="s">
        <v>176</v>
      </c>
      <c r="G39" s="11"/>
      <c r="H39" s="19" t="s">
        <v>177</v>
      </c>
      <c r="I39" s="19"/>
    </row>
    <row r="40" spans="1:9" ht="60" customHeight="1" x14ac:dyDescent="0.2">
      <c r="A40" s="11">
        <v>39</v>
      </c>
      <c r="B40" s="19" t="s">
        <v>18</v>
      </c>
      <c r="C40" s="20" t="s">
        <v>46</v>
      </c>
      <c r="D40" s="11" t="s">
        <v>165</v>
      </c>
      <c r="E40" s="19" t="s">
        <v>178</v>
      </c>
      <c r="F40" s="19" t="s">
        <v>179</v>
      </c>
      <c r="G40" s="11"/>
      <c r="H40" s="19" t="s">
        <v>180</v>
      </c>
      <c r="I40" s="19"/>
    </row>
    <row r="41" spans="1:9" ht="60" customHeight="1" x14ac:dyDescent="0.2">
      <c r="A41" s="11">
        <v>40</v>
      </c>
      <c r="B41" s="19" t="s">
        <v>18</v>
      </c>
      <c r="C41" s="20" t="s">
        <v>46</v>
      </c>
      <c r="D41" s="11" t="s">
        <v>165</v>
      </c>
      <c r="E41" s="19" t="s">
        <v>181</v>
      </c>
      <c r="F41" s="19" t="s">
        <v>182</v>
      </c>
      <c r="G41" s="11"/>
      <c r="H41" s="19" t="s">
        <v>183</v>
      </c>
      <c r="I41" s="19"/>
    </row>
    <row r="42" spans="1:9" ht="60" customHeight="1" x14ac:dyDescent="0.2">
      <c r="A42" s="11">
        <v>41</v>
      </c>
      <c r="B42" s="19" t="s">
        <v>18</v>
      </c>
      <c r="C42" s="20" t="s">
        <v>46</v>
      </c>
      <c r="D42" s="11" t="s">
        <v>165</v>
      </c>
      <c r="E42" s="19" t="s">
        <v>184</v>
      </c>
      <c r="F42" s="19" t="s">
        <v>185</v>
      </c>
      <c r="G42" s="11"/>
      <c r="H42" s="19" t="s">
        <v>184</v>
      </c>
      <c r="I42" s="19"/>
    </row>
    <row r="43" spans="1:9" ht="60" customHeight="1" x14ac:dyDescent="0.2">
      <c r="A43" s="11">
        <v>42</v>
      </c>
      <c r="B43" s="19" t="s">
        <v>18</v>
      </c>
      <c r="C43" s="20" t="s">
        <v>46</v>
      </c>
      <c r="D43" s="11" t="s">
        <v>165</v>
      </c>
      <c r="E43" s="19" t="s">
        <v>186</v>
      </c>
      <c r="F43" s="19" t="s">
        <v>187</v>
      </c>
      <c r="G43" s="11"/>
      <c r="H43" s="19" t="s">
        <v>188</v>
      </c>
      <c r="I43" s="19"/>
    </row>
    <row r="44" spans="1:9" ht="60" customHeight="1" x14ac:dyDescent="0.2">
      <c r="A44" s="11">
        <v>43</v>
      </c>
      <c r="B44" s="19" t="s">
        <v>25</v>
      </c>
      <c r="C44" s="20" t="s">
        <v>46</v>
      </c>
      <c r="D44" s="11" t="s">
        <v>189</v>
      </c>
      <c r="E44" s="19" t="s">
        <v>190</v>
      </c>
      <c r="F44" s="19" t="s">
        <v>191</v>
      </c>
      <c r="G44" s="11"/>
      <c r="H44" s="19" t="s">
        <v>74</v>
      </c>
      <c r="I44" s="19"/>
    </row>
    <row r="45" spans="1:9" ht="60" customHeight="1" x14ac:dyDescent="0.2">
      <c r="A45" s="11">
        <v>44</v>
      </c>
      <c r="B45" s="19" t="s">
        <v>25</v>
      </c>
      <c r="C45" s="20" t="s">
        <v>46</v>
      </c>
      <c r="D45" s="11" t="s">
        <v>189</v>
      </c>
      <c r="E45" s="19" t="s">
        <v>192</v>
      </c>
      <c r="F45" s="19" t="s">
        <v>193</v>
      </c>
      <c r="G45" s="11"/>
      <c r="H45" s="19" t="s">
        <v>194</v>
      </c>
      <c r="I45" s="19"/>
    </row>
    <row r="46" spans="1:9" ht="60" customHeight="1" x14ac:dyDescent="0.2">
      <c r="A46" s="11">
        <v>45</v>
      </c>
      <c r="B46" s="19" t="s">
        <v>26</v>
      </c>
      <c r="C46" s="21" t="s">
        <v>195</v>
      </c>
      <c r="D46" s="11" t="s">
        <v>196</v>
      </c>
      <c r="E46" s="19" t="s">
        <v>197</v>
      </c>
      <c r="F46" s="19" t="s">
        <v>198</v>
      </c>
      <c r="G46" s="11"/>
      <c r="H46" s="19" t="s">
        <v>199</v>
      </c>
      <c r="I46" s="19"/>
    </row>
    <row r="47" spans="1:9" ht="60" customHeight="1" x14ac:dyDescent="0.2">
      <c r="A47" s="11">
        <v>46</v>
      </c>
      <c r="B47" s="19" t="s">
        <v>26</v>
      </c>
      <c r="C47" s="21" t="s">
        <v>195</v>
      </c>
      <c r="D47" s="11" t="s">
        <v>200</v>
      </c>
      <c r="E47" s="19" t="s">
        <v>201</v>
      </c>
      <c r="F47" s="19" t="s">
        <v>202</v>
      </c>
      <c r="G47" s="11"/>
      <c r="H47" s="19" t="s">
        <v>203</v>
      </c>
      <c r="I47" s="19"/>
    </row>
    <row r="48" spans="1:9" ht="60" customHeight="1" x14ac:dyDescent="0.2">
      <c r="A48" s="11">
        <v>47</v>
      </c>
      <c r="B48" s="19" t="s">
        <v>21</v>
      </c>
      <c r="C48" s="21" t="s">
        <v>195</v>
      </c>
      <c r="D48" s="11" t="s">
        <v>204</v>
      </c>
      <c r="E48" s="19" t="s">
        <v>205</v>
      </c>
      <c r="F48" s="19" t="s">
        <v>206</v>
      </c>
      <c r="G48" s="11"/>
      <c r="H48" s="19" t="s">
        <v>207</v>
      </c>
      <c r="I48" s="19"/>
    </row>
    <row r="49" spans="1:9" ht="60" customHeight="1" x14ac:dyDescent="0.2">
      <c r="A49" s="11">
        <v>48</v>
      </c>
      <c r="B49" s="19" t="s">
        <v>21</v>
      </c>
      <c r="C49" s="21" t="s">
        <v>195</v>
      </c>
      <c r="D49" s="11" t="s">
        <v>208</v>
      </c>
      <c r="E49" s="19" t="s">
        <v>209</v>
      </c>
      <c r="F49" s="19" t="s">
        <v>210</v>
      </c>
      <c r="G49" s="11"/>
      <c r="H49" s="19" t="s">
        <v>211</v>
      </c>
      <c r="I49" s="19"/>
    </row>
    <row r="50" spans="1:9" ht="60" customHeight="1" x14ac:dyDescent="0.2">
      <c r="A50" s="11">
        <v>49</v>
      </c>
      <c r="B50" s="19" t="s">
        <v>21</v>
      </c>
      <c r="C50" s="21" t="s">
        <v>195</v>
      </c>
      <c r="D50" s="11" t="s">
        <v>212</v>
      </c>
      <c r="E50" s="19" t="s">
        <v>213</v>
      </c>
      <c r="F50" s="19" t="s">
        <v>214</v>
      </c>
      <c r="G50" s="11"/>
      <c r="H50" s="19" t="s">
        <v>215</v>
      </c>
      <c r="I50" s="19"/>
    </row>
    <row r="51" spans="1:9" ht="60" customHeight="1" x14ac:dyDescent="0.2">
      <c r="A51" s="11">
        <v>50</v>
      </c>
      <c r="B51" s="19" t="s">
        <v>21</v>
      </c>
      <c r="C51" s="21" t="s">
        <v>195</v>
      </c>
      <c r="D51" s="11" t="s">
        <v>216</v>
      </c>
      <c r="E51" s="19" t="s">
        <v>217</v>
      </c>
      <c r="F51" s="19" t="s">
        <v>218</v>
      </c>
      <c r="G51" s="11"/>
      <c r="H51" s="19" t="s">
        <v>219</v>
      </c>
      <c r="I51" s="19"/>
    </row>
    <row r="52" spans="1:9" ht="60" customHeight="1" x14ac:dyDescent="0.2">
      <c r="A52" s="11">
        <v>51</v>
      </c>
      <c r="B52" s="19" t="s">
        <v>22</v>
      </c>
      <c r="C52" s="21" t="s">
        <v>195</v>
      </c>
      <c r="D52" s="11" t="s">
        <v>220</v>
      </c>
      <c r="E52" s="19" t="s">
        <v>221</v>
      </c>
      <c r="F52" s="19" t="s">
        <v>222</v>
      </c>
      <c r="G52" s="11"/>
      <c r="H52" s="19" t="s">
        <v>223</v>
      </c>
      <c r="I52" s="19"/>
    </row>
    <row r="53" spans="1:9" ht="60" customHeight="1" x14ac:dyDescent="0.2">
      <c r="A53" s="11">
        <v>52</v>
      </c>
      <c r="B53" s="19" t="s">
        <v>22</v>
      </c>
      <c r="C53" s="21" t="s">
        <v>195</v>
      </c>
      <c r="D53" s="11" t="s">
        <v>224</v>
      </c>
      <c r="E53" s="19" t="s">
        <v>225</v>
      </c>
      <c r="F53" s="19" t="s">
        <v>226</v>
      </c>
      <c r="G53" s="11"/>
      <c r="H53" s="19" t="s">
        <v>227</v>
      </c>
      <c r="I53" s="19"/>
    </row>
    <row r="54" spans="1:9" ht="60" customHeight="1" x14ac:dyDescent="0.2">
      <c r="A54" s="11">
        <v>53</v>
      </c>
      <c r="B54" s="19" t="s">
        <v>22</v>
      </c>
      <c r="C54" s="21" t="s">
        <v>195</v>
      </c>
      <c r="D54" s="11" t="s">
        <v>228</v>
      </c>
      <c r="E54" s="19" t="s">
        <v>229</v>
      </c>
      <c r="F54" s="19" t="s">
        <v>230</v>
      </c>
      <c r="G54" s="11"/>
      <c r="H54" s="19" t="s">
        <v>223</v>
      </c>
      <c r="I54" s="19"/>
    </row>
    <row r="55" spans="1:9" ht="60" customHeight="1" x14ac:dyDescent="0.2">
      <c r="A55" s="11">
        <v>54</v>
      </c>
      <c r="B55" s="19" t="s">
        <v>23</v>
      </c>
      <c r="C55" s="21" t="s">
        <v>195</v>
      </c>
      <c r="D55" s="11" t="s">
        <v>231</v>
      </c>
      <c r="E55" s="19" t="s">
        <v>232</v>
      </c>
      <c r="F55" s="19" t="s">
        <v>233</v>
      </c>
      <c r="G55" s="11"/>
      <c r="H55" s="19" t="s">
        <v>234</v>
      </c>
      <c r="I55" s="19"/>
    </row>
    <row r="56" spans="1:9" ht="60" customHeight="1" x14ac:dyDescent="0.2">
      <c r="A56" s="11">
        <v>55</v>
      </c>
      <c r="B56" s="19" t="s">
        <v>23</v>
      </c>
      <c r="C56" s="21" t="s">
        <v>195</v>
      </c>
      <c r="D56" s="11" t="s">
        <v>235</v>
      </c>
      <c r="E56" s="19" t="s">
        <v>236</v>
      </c>
      <c r="F56" s="19" t="s">
        <v>237</v>
      </c>
      <c r="G56" s="11"/>
      <c r="H56" s="19" t="s">
        <v>238</v>
      </c>
      <c r="I56" s="19"/>
    </row>
    <row r="57" spans="1:9" ht="60" customHeight="1" x14ac:dyDescent="0.2">
      <c r="A57" s="11">
        <v>56</v>
      </c>
      <c r="B57" s="19" t="s">
        <v>23</v>
      </c>
      <c r="C57" s="21" t="s">
        <v>195</v>
      </c>
      <c r="D57" s="11" t="s">
        <v>239</v>
      </c>
      <c r="E57" s="19" t="s">
        <v>240</v>
      </c>
      <c r="F57" s="19" t="s">
        <v>241</v>
      </c>
      <c r="G57" s="11"/>
      <c r="H57" s="19" t="s">
        <v>242</v>
      </c>
      <c r="I57" s="19"/>
    </row>
    <row r="58" spans="1:9" ht="60" customHeight="1" x14ac:dyDescent="0.2">
      <c r="A58" s="11">
        <v>57</v>
      </c>
      <c r="B58" s="19" t="s">
        <v>16</v>
      </c>
      <c r="C58" s="17" t="s">
        <v>17</v>
      </c>
      <c r="D58" s="11" t="s">
        <v>243</v>
      </c>
      <c r="E58" s="19" t="s">
        <v>244</v>
      </c>
      <c r="F58" s="19" t="s">
        <v>245</v>
      </c>
      <c r="G58" s="11"/>
      <c r="H58" s="19" t="s">
        <v>234</v>
      </c>
      <c r="I58" s="19"/>
    </row>
    <row r="59" spans="1:9" ht="60" customHeight="1" x14ac:dyDescent="0.2">
      <c r="A59" s="11">
        <v>58</v>
      </c>
      <c r="B59" s="19" t="s">
        <v>16</v>
      </c>
      <c r="C59" s="17" t="s">
        <v>17</v>
      </c>
      <c r="D59" s="11" t="s">
        <v>246</v>
      </c>
      <c r="E59" s="19" t="s">
        <v>247</v>
      </c>
      <c r="F59" s="19" t="s">
        <v>248</v>
      </c>
      <c r="G59" s="11"/>
      <c r="H59" s="19" t="s">
        <v>249</v>
      </c>
      <c r="I59" s="19"/>
    </row>
    <row r="60" spans="1:9" ht="60" customHeight="1" x14ac:dyDescent="0.2">
      <c r="A60" s="11">
        <v>59</v>
      </c>
      <c r="B60" s="19" t="s">
        <v>16</v>
      </c>
      <c r="C60" s="17" t="s">
        <v>17</v>
      </c>
      <c r="D60" s="11" t="s">
        <v>250</v>
      </c>
      <c r="E60" s="19" t="s">
        <v>251</v>
      </c>
      <c r="F60" s="19" t="s">
        <v>252</v>
      </c>
      <c r="G60" s="11"/>
      <c r="H60" s="19" t="s">
        <v>253</v>
      </c>
      <c r="I60" s="19"/>
    </row>
    <row r="61" spans="1:9" ht="60" customHeight="1" x14ac:dyDescent="0.2">
      <c r="A61" s="11">
        <v>60</v>
      </c>
      <c r="B61" s="19" t="s">
        <v>16</v>
      </c>
      <c r="C61" s="17" t="s">
        <v>17</v>
      </c>
      <c r="D61" s="11" t="s">
        <v>254</v>
      </c>
      <c r="E61" s="19" t="s">
        <v>255</v>
      </c>
      <c r="F61" s="19" t="s">
        <v>256</v>
      </c>
      <c r="G61" s="11"/>
      <c r="H61" s="19" t="s">
        <v>255</v>
      </c>
      <c r="I61" s="19"/>
    </row>
    <row r="62" spans="1:9" ht="60" customHeight="1" x14ac:dyDescent="0.2">
      <c r="A62" s="11">
        <v>61</v>
      </c>
      <c r="B62" s="19" t="s">
        <v>16</v>
      </c>
      <c r="C62" s="17" t="s">
        <v>17</v>
      </c>
      <c r="D62" s="11" t="s">
        <v>63</v>
      </c>
      <c r="E62" s="19" t="s">
        <v>257</v>
      </c>
      <c r="F62" s="19" t="s">
        <v>258</v>
      </c>
      <c r="G62" s="11"/>
      <c r="H62" s="19" t="s">
        <v>259</v>
      </c>
      <c r="I62" s="19"/>
    </row>
    <row r="63" spans="1:9" ht="60" customHeight="1" x14ac:dyDescent="0.2">
      <c r="A63" s="11">
        <v>62</v>
      </c>
      <c r="B63" s="19" t="s">
        <v>16</v>
      </c>
      <c r="C63" s="17" t="s">
        <v>17</v>
      </c>
      <c r="D63" s="11" t="s">
        <v>260</v>
      </c>
      <c r="E63" s="19" t="s">
        <v>261</v>
      </c>
      <c r="F63" s="19" t="s">
        <v>262</v>
      </c>
      <c r="G63" s="11"/>
      <c r="H63" s="19" t="s">
        <v>263</v>
      </c>
      <c r="I63" s="19"/>
    </row>
    <row r="64" spans="1:9" ht="60" customHeight="1" x14ac:dyDescent="0.2">
      <c r="A64" s="11">
        <v>63</v>
      </c>
      <c r="B64" s="19" t="s">
        <v>16</v>
      </c>
      <c r="C64" s="17" t="s">
        <v>17</v>
      </c>
      <c r="D64" s="11" t="s">
        <v>264</v>
      </c>
      <c r="E64" s="19" t="s">
        <v>265</v>
      </c>
      <c r="F64" s="19" t="s">
        <v>266</v>
      </c>
      <c r="G64" s="11"/>
      <c r="H64" s="19" t="s">
        <v>267</v>
      </c>
      <c r="I64" s="19"/>
    </row>
    <row r="65" spans="1:9" ht="60" customHeight="1" x14ac:dyDescent="0.2">
      <c r="A65" s="11">
        <v>64</v>
      </c>
      <c r="B65" s="19" t="s">
        <v>16</v>
      </c>
      <c r="C65" s="17" t="s">
        <v>17</v>
      </c>
      <c r="D65" s="11" t="s">
        <v>268</v>
      </c>
      <c r="E65" s="19" t="s">
        <v>269</v>
      </c>
      <c r="F65" s="19" t="s">
        <v>270</v>
      </c>
      <c r="G65" s="11"/>
      <c r="H65" s="19" t="s">
        <v>271</v>
      </c>
      <c r="I65" s="19"/>
    </row>
    <row r="66" spans="1:9" ht="60" customHeight="1" x14ac:dyDescent="0.2">
      <c r="A66" s="11">
        <v>65</v>
      </c>
      <c r="B66" s="19" t="s">
        <v>18</v>
      </c>
      <c r="C66" s="17" t="s">
        <v>17</v>
      </c>
      <c r="D66" s="11" t="s">
        <v>165</v>
      </c>
      <c r="E66" s="19" t="s">
        <v>272</v>
      </c>
      <c r="F66" s="19" t="s">
        <v>273</v>
      </c>
      <c r="G66" s="11"/>
      <c r="H66" s="19" t="s">
        <v>274</v>
      </c>
      <c r="I66" s="19"/>
    </row>
    <row r="67" spans="1:9" ht="60" customHeight="1" x14ac:dyDescent="0.2">
      <c r="A67" s="11">
        <v>66</v>
      </c>
      <c r="B67" s="19" t="s">
        <v>17</v>
      </c>
      <c r="C67" s="17" t="s">
        <v>17</v>
      </c>
      <c r="D67" s="11" t="s">
        <v>47</v>
      </c>
      <c r="E67" s="19" t="s">
        <v>275</v>
      </c>
      <c r="F67" s="19" t="s">
        <v>276</v>
      </c>
      <c r="G67" s="11"/>
      <c r="H67" s="19" t="s">
        <v>277</v>
      </c>
      <c r="I67" s="19"/>
    </row>
    <row r="68" spans="1:9" ht="60" customHeight="1" x14ac:dyDescent="0.2">
      <c r="A68" s="11">
        <v>67</v>
      </c>
      <c r="B68" s="19" t="s">
        <v>17</v>
      </c>
      <c r="C68" s="17" t="s">
        <v>17</v>
      </c>
      <c r="D68" s="11" t="s">
        <v>51</v>
      </c>
      <c r="E68" s="19" t="s">
        <v>278</v>
      </c>
      <c r="F68" s="19" t="s">
        <v>279</v>
      </c>
      <c r="G68" s="11"/>
      <c r="H68" s="19" t="s">
        <v>54</v>
      </c>
      <c r="I68" s="19"/>
    </row>
    <row r="69" spans="1:9" ht="60" customHeight="1" x14ac:dyDescent="0.2">
      <c r="A69" s="11">
        <v>68</v>
      </c>
      <c r="B69" s="19" t="s">
        <v>17</v>
      </c>
      <c r="C69" s="17" t="s">
        <v>17</v>
      </c>
      <c r="D69" s="11" t="s">
        <v>55</v>
      </c>
      <c r="E69" s="19" t="s">
        <v>280</v>
      </c>
      <c r="F69" s="19" t="s">
        <v>281</v>
      </c>
      <c r="G69" s="11"/>
      <c r="H69" s="19" t="s">
        <v>58</v>
      </c>
      <c r="I69" s="19"/>
    </row>
    <row r="70" spans="1:9" ht="60" customHeight="1" x14ac:dyDescent="0.2">
      <c r="A70" s="11">
        <v>69</v>
      </c>
      <c r="B70" s="19" t="s">
        <v>17</v>
      </c>
      <c r="C70" s="17" t="s">
        <v>17</v>
      </c>
      <c r="D70" s="11" t="s">
        <v>63</v>
      </c>
      <c r="E70" s="19" t="s">
        <v>282</v>
      </c>
      <c r="F70" s="19" t="s">
        <v>283</v>
      </c>
      <c r="G70" s="11"/>
      <c r="H70" s="19" t="s">
        <v>66</v>
      </c>
      <c r="I70" s="19"/>
    </row>
    <row r="71" spans="1:9" ht="60" customHeight="1" x14ac:dyDescent="0.2">
      <c r="A71" s="11">
        <v>70</v>
      </c>
      <c r="B71" s="19" t="s">
        <v>17</v>
      </c>
      <c r="C71" s="17" t="s">
        <v>17</v>
      </c>
      <c r="D71" s="11" t="s">
        <v>67</v>
      </c>
      <c r="E71" s="19" t="s">
        <v>70</v>
      </c>
      <c r="F71" s="19" t="s">
        <v>284</v>
      </c>
      <c r="G71" s="11"/>
      <c r="H71" s="19" t="s">
        <v>285</v>
      </c>
      <c r="I71" s="19"/>
    </row>
    <row r="72" spans="1:9" ht="60" customHeight="1" x14ac:dyDescent="0.2">
      <c r="A72" s="11">
        <v>71</v>
      </c>
      <c r="B72" s="19" t="s">
        <v>17</v>
      </c>
      <c r="C72" s="17" t="s">
        <v>17</v>
      </c>
      <c r="D72" s="11" t="s">
        <v>75</v>
      </c>
      <c r="E72" s="19" t="s">
        <v>286</v>
      </c>
      <c r="F72" s="19" t="s">
        <v>287</v>
      </c>
      <c r="G72" s="11"/>
      <c r="H72" s="19" t="s">
        <v>288</v>
      </c>
      <c r="I72" s="19"/>
    </row>
    <row r="73" spans="1:9" ht="60" customHeight="1" x14ac:dyDescent="0.2">
      <c r="A73" s="11">
        <v>72</v>
      </c>
      <c r="B73" s="19" t="s">
        <v>17</v>
      </c>
      <c r="C73" s="17" t="s">
        <v>17</v>
      </c>
      <c r="D73" s="11" t="s">
        <v>79</v>
      </c>
      <c r="E73" s="19" t="s">
        <v>289</v>
      </c>
      <c r="F73" s="19" t="s">
        <v>290</v>
      </c>
      <c r="G73" s="11"/>
      <c r="H73" s="19" t="s">
        <v>291</v>
      </c>
      <c r="I73" s="19"/>
    </row>
    <row r="74" spans="1:9" ht="60" customHeight="1" x14ac:dyDescent="0.2">
      <c r="A74" s="11">
        <v>73</v>
      </c>
      <c r="B74" s="19" t="s">
        <v>17</v>
      </c>
      <c r="C74" s="17" t="s">
        <v>17</v>
      </c>
      <c r="D74" s="11" t="s">
        <v>79</v>
      </c>
      <c r="E74" s="19" t="s">
        <v>292</v>
      </c>
      <c r="F74" s="19" t="s">
        <v>293</v>
      </c>
      <c r="G74" s="11"/>
      <c r="H74" s="19" t="s">
        <v>294</v>
      </c>
      <c r="I74" s="19"/>
    </row>
    <row r="75" spans="1:9" ht="60" customHeight="1" x14ac:dyDescent="0.2">
      <c r="A75" s="11">
        <v>74</v>
      </c>
      <c r="B75" s="19" t="s">
        <v>17</v>
      </c>
      <c r="C75" s="17" t="s">
        <v>17</v>
      </c>
      <c r="D75" s="11" t="s">
        <v>144</v>
      </c>
      <c r="E75" s="19" t="s">
        <v>295</v>
      </c>
      <c r="F75" s="19" t="s">
        <v>296</v>
      </c>
      <c r="G75" s="11"/>
      <c r="H75" s="19" t="s">
        <v>119</v>
      </c>
      <c r="I75" s="19"/>
    </row>
    <row r="76" spans="1:9" ht="60" customHeight="1" x14ac:dyDescent="0.2">
      <c r="A76" s="11">
        <v>75</v>
      </c>
      <c r="B76" s="19" t="s">
        <v>17</v>
      </c>
      <c r="C76" s="17" t="s">
        <v>17</v>
      </c>
      <c r="D76" s="11" t="s">
        <v>196</v>
      </c>
      <c r="E76" s="19" t="s">
        <v>297</v>
      </c>
      <c r="F76" s="19" t="s">
        <v>298</v>
      </c>
      <c r="G76" s="11"/>
      <c r="H76" s="19" t="s">
        <v>199</v>
      </c>
      <c r="I76" s="19"/>
    </row>
    <row r="77" spans="1:9" ht="60" customHeight="1" x14ac:dyDescent="0.2">
      <c r="A77" s="11">
        <v>76</v>
      </c>
      <c r="B77" s="19" t="s">
        <v>17</v>
      </c>
      <c r="C77" s="17" t="s">
        <v>17</v>
      </c>
      <c r="D77" s="11" t="s">
        <v>299</v>
      </c>
      <c r="E77" s="19" t="s">
        <v>300</v>
      </c>
      <c r="F77" s="19" t="s">
        <v>301</v>
      </c>
      <c r="G77" s="11"/>
      <c r="H77" s="19" t="s">
        <v>227</v>
      </c>
      <c r="I77" s="19"/>
    </row>
    <row r="78" spans="1:9" ht="60" customHeight="1" x14ac:dyDescent="0.2">
      <c r="A78" s="11">
        <v>77</v>
      </c>
      <c r="B78" s="19" t="s">
        <v>17</v>
      </c>
      <c r="C78" s="17" t="s">
        <v>17</v>
      </c>
      <c r="D78" s="11" t="s">
        <v>204</v>
      </c>
      <c r="E78" s="19" t="s">
        <v>302</v>
      </c>
      <c r="F78" s="19" t="s">
        <v>303</v>
      </c>
      <c r="G78" s="11"/>
      <c r="H78" s="19" t="s">
        <v>207</v>
      </c>
      <c r="I78" s="19"/>
    </row>
    <row r="79" spans="1:9" ht="60" customHeight="1" x14ac:dyDescent="0.2">
      <c r="A79" s="11">
        <v>78</v>
      </c>
      <c r="B79" s="19" t="s">
        <v>17</v>
      </c>
      <c r="C79" s="17" t="s">
        <v>17</v>
      </c>
      <c r="D79" s="11" t="s">
        <v>235</v>
      </c>
      <c r="E79" s="19" t="s">
        <v>304</v>
      </c>
      <c r="F79" s="19" t="s">
        <v>305</v>
      </c>
      <c r="G79" s="11"/>
      <c r="H79" s="19" t="s">
        <v>306</v>
      </c>
      <c r="I79" s="19"/>
    </row>
    <row r="80" spans="1:9" ht="60" hidden="1" customHeight="1" x14ac:dyDescent="0.2">
      <c r="A80" s="11">
        <v>79</v>
      </c>
      <c r="B80" s="19" t="s">
        <v>14</v>
      </c>
      <c r="C80" s="17" t="s">
        <v>17</v>
      </c>
      <c r="D80" s="11" t="s">
        <v>307</v>
      </c>
      <c r="E80" s="19" t="s">
        <v>308</v>
      </c>
      <c r="F80" s="19" t="s">
        <v>309</v>
      </c>
      <c r="G80" s="11"/>
      <c r="H80" s="19" t="s">
        <v>271</v>
      </c>
      <c r="I80" s="19"/>
    </row>
    <row r="81" spans="1:9" ht="60" hidden="1" customHeight="1" x14ac:dyDescent="0.2">
      <c r="A81" s="11">
        <v>80</v>
      </c>
      <c r="B81" s="19" t="s">
        <v>14</v>
      </c>
      <c r="C81" s="17" t="s">
        <v>17</v>
      </c>
      <c r="D81" s="11" t="s">
        <v>310</v>
      </c>
      <c r="E81" s="19" t="s">
        <v>311</v>
      </c>
      <c r="F81" s="19" t="s">
        <v>312</v>
      </c>
      <c r="G81" s="11"/>
      <c r="H81" s="19" t="s">
        <v>271</v>
      </c>
      <c r="I81" s="19"/>
    </row>
    <row r="82" spans="1:9" ht="60" hidden="1" customHeight="1" x14ac:dyDescent="0.2">
      <c r="A82" s="11">
        <v>81</v>
      </c>
      <c r="B82" s="19" t="s">
        <v>14</v>
      </c>
      <c r="C82" s="17" t="s">
        <v>17</v>
      </c>
      <c r="D82" s="11" t="s">
        <v>313</v>
      </c>
      <c r="E82" s="19" t="s">
        <v>314</v>
      </c>
      <c r="F82" s="19" t="s">
        <v>315</v>
      </c>
      <c r="G82" s="11"/>
      <c r="H82" s="19" t="s">
        <v>285</v>
      </c>
      <c r="I82" s="19"/>
    </row>
    <row r="83" spans="1:9" ht="60" hidden="1" customHeight="1" x14ac:dyDescent="0.2">
      <c r="A83" s="11">
        <v>82</v>
      </c>
      <c r="B83" s="19" t="s">
        <v>14</v>
      </c>
      <c r="C83" s="17" t="s">
        <v>17</v>
      </c>
      <c r="D83" s="11" t="s">
        <v>316</v>
      </c>
      <c r="E83" s="19" t="s">
        <v>317</v>
      </c>
      <c r="F83" s="19" t="s">
        <v>318</v>
      </c>
      <c r="G83" s="11"/>
      <c r="H83" s="19" t="s">
        <v>271</v>
      </c>
      <c r="I83" s="19"/>
    </row>
    <row r="84" spans="1:9" ht="60" hidden="1" customHeight="1" x14ac:dyDescent="0.2">
      <c r="A84" s="11">
        <v>83</v>
      </c>
      <c r="B84" s="19" t="s">
        <v>14</v>
      </c>
      <c r="C84" s="17" t="s">
        <v>17</v>
      </c>
      <c r="D84" s="11" t="s">
        <v>319</v>
      </c>
      <c r="E84" s="19" t="s">
        <v>320</v>
      </c>
      <c r="F84" s="19" t="s">
        <v>321</v>
      </c>
      <c r="G84" s="11"/>
      <c r="H84" s="19" t="s">
        <v>322</v>
      </c>
      <c r="I84" s="19"/>
    </row>
    <row r="85" spans="1:9" ht="60" hidden="1" customHeight="1" x14ac:dyDescent="0.2">
      <c r="A85" s="11">
        <v>84</v>
      </c>
      <c r="B85" s="19" t="s">
        <v>14</v>
      </c>
      <c r="C85" s="17" t="s">
        <v>17</v>
      </c>
      <c r="D85" s="11" t="s">
        <v>323</v>
      </c>
      <c r="E85" s="19" t="s">
        <v>324</v>
      </c>
      <c r="F85" s="19" t="s">
        <v>325</v>
      </c>
      <c r="G85" s="11"/>
      <c r="H85" s="19" t="s">
        <v>326</v>
      </c>
      <c r="I85" s="19"/>
    </row>
    <row r="86" spans="1:9" ht="60" hidden="1" customHeight="1" x14ac:dyDescent="0.2">
      <c r="A86" s="11">
        <v>85</v>
      </c>
      <c r="B86" s="19" t="s">
        <v>14</v>
      </c>
      <c r="C86" s="17" t="s">
        <v>17</v>
      </c>
      <c r="D86" s="11" t="s">
        <v>327</v>
      </c>
      <c r="E86" s="19" t="s">
        <v>328</v>
      </c>
      <c r="F86" s="19" t="s">
        <v>329</v>
      </c>
      <c r="G86" s="11"/>
      <c r="H86" s="19" t="s">
        <v>330</v>
      </c>
      <c r="I86" s="19"/>
    </row>
    <row r="87" spans="1:9" ht="60" hidden="1" customHeight="1" x14ac:dyDescent="0.2">
      <c r="A87" s="11">
        <v>86</v>
      </c>
      <c r="B87" s="19" t="s">
        <v>14</v>
      </c>
      <c r="C87" s="17" t="s">
        <v>17</v>
      </c>
      <c r="D87" s="11" t="s">
        <v>331</v>
      </c>
      <c r="E87" s="19" t="s">
        <v>332</v>
      </c>
      <c r="F87" s="19" t="s">
        <v>333</v>
      </c>
      <c r="G87" s="11"/>
      <c r="H87" s="19" t="s">
        <v>271</v>
      </c>
      <c r="I87" s="19"/>
    </row>
    <row r="88" spans="1:9" ht="60" hidden="1" customHeight="1" x14ac:dyDescent="0.2">
      <c r="A88" s="11">
        <v>87</v>
      </c>
      <c r="B88" s="19" t="s">
        <v>14</v>
      </c>
      <c r="C88" s="17" t="s">
        <v>17</v>
      </c>
      <c r="D88" s="11" t="s">
        <v>334</v>
      </c>
      <c r="E88" s="19" t="s">
        <v>335</v>
      </c>
      <c r="F88" s="19" t="s">
        <v>336</v>
      </c>
      <c r="G88" s="11"/>
      <c r="H88" s="19" t="s">
        <v>337</v>
      </c>
      <c r="I88" s="19"/>
    </row>
    <row r="89" spans="1:9" ht="60" hidden="1" customHeight="1" x14ac:dyDescent="0.2">
      <c r="A89" s="11">
        <v>88</v>
      </c>
      <c r="B89" s="19" t="s">
        <v>14</v>
      </c>
      <c r="C89" s="17" t="s">
        <v>17</v>
      </c>
      <c r="D89" s="11" t="s">
        <v>338</v>
      </c>
      <c r="E89" s="19" t="s">
        <v>339</v>
      </c>
      <c r="F89" s="19" t="s">
        <v>340</v>
      </c>
      <c r="G89" s="11"/>
      <c r="H89" s="19" t="s">
        <v>271</v>
      </c>
      <c r="I89" s="19"/>
    </row>
    <row r="90" spans="1:9" ht="60" hidden="1" customHeight="1" x14ac:dyDescent="0.2">
      <c r="A90" s="11">
        <v>89</v>
      </c>
      <c r="B90" s="19" t="s">
        <v>14</v>
      </c>
      <c r="C90" s="17" t="s">
        <v>17</v>
      </c>
      <c r="D90" s="11" t="s">
        <v>341</v>
      </c>
      <c r="E90" s="19" t="s">
        <v>342</v>
      </c>
      <c r="F90" s="19" t="s">
        <v>343</v>
      </c>
      <c r="G90" s="11"/>
      <c r="H90" s="19" t="s">
        <v>271</v>
      </c>
      <c r="I90" s="19"/>
    </row>
    <row r="91" spans="1:9" ht="60" hidden="1" customHeight="1" x14ac:dyDescent="0.2">
      <c r="A91" s="11">
        <v>90</v>
      </c>
      <c r="B91" s="19" t="s">
        <v>14</v>
      </c>
      <c r="C91" s="17" t="s">
        <v>17</v>
      </c>
      <c r="D91" s="11" t="s">
        <v>344</v>
      </c>
      <c r="E91" s="19" t="s">
        <v>345</v>
      </c>
      <c r="F91" s="19" t="s">
        <v>346</v>
      </c>
      <c r="G91" s="11"/>
      <c r="H91" s="19" t="s">
        <v>347</v>
      </c>
      <c r="I91" s="19"/>
    </row>
    <row r="92" spans="1:9" ht="60" hidden="1" customHeight="1" x14ac:dyDescent="0.2">
      <c r="A92" s="11">
        <v>91</v>
      </c>
      <c r="B92" s="19" t="s">
        <v>14</v>
      </c>
      <c r="C92" s="17" t="s">
        <v>17</v>
      </c>
      <c r="D92" s="11" t="s">
        <v>348</v>
      </c>
      <c r="E92" s="19" t="s">
        <v>349</v>
      </c>
      <c r="F92" s="19" t="s">
        <v>350</v>
      </c>
      <c r="G92" s="11"/>
      <c r="H92" s="19" t="s">
        <v>271</v>
      </c>
      <c r="I92" s="19"/>
    </row>
    <row r="93" spans="1:9" ht="60" hidden="1" customHeight="1" x14ac:dyDescent="0.2">
      <c r="A93" s="11">
        <v>92</v>
      </c>
      <c r="B93" s="19" t="s">
        <v>14</v>
      </c>
      <c r="C93" s="17" t="s">
        <v>17</v>
      </c>
      <c r="D93" s="11" t="s">
        <v>351</v>
      </c>
      <c r="E93" s="19" t="s">
        <v>352</v>
      </c>
      <c r="F93" s="19" t="s">
        <v>353</v>
      </c>
      <c r="G93" s="11"/>
      <c r="H93" s="19" t="s">
        <v>354</v>
      </c>
      <c r="I93" s="19"/>
    </row>
    <row r="94" spans="1:9" ht="60" hidden="1" customHeight="1" x14ac:dyDescent="0.2">
      <c r="A94" s="11">
        <v>93</v>
      </c>
      <c r="B94" s="19" t="s">
        <v>14</v>
      </c>
      <c r="C94" s="17" t="s">
        <v>17</v>
      </c>
      <c r="D94" s="11" t="s">
        <v>355</v>
      </c>
      <c r="E94" s="19" t="s">
        <v>356</v>
      </c>
      <c r="F94" s="19" t="s">
        <v>357</v>
      </c>
      <c r="G94" s="11"/>
      <c r="H94" s="19" t="s">
        <v>271</v>
      </c>
      <c r="I94" s="19"/>
    </row>
    <row r="95" spans="1:9" ht="60" hidden="1" customHeight="1" x14ac:dyDescent="0.2">
      <c r="A95" s="11">
        <v>94</v>
      </c>
      <c r="B95" s="19" t="s">
        <v>14</v>
      </c>
      <c r="C95" s="17" t="s">
        <v>17</v>
      </c>
      <c r="D95" s="11" t="s">
        <v>358</v>
      </c>
      <c r="E95" s="19" t="s">
        <v>359</v>
      </c>
      <c r="F95" s="19" t="s">
        <v>360</v>
      </c>
      <c r="G95" s="11"/>
      <c r="H95" s="19" t="s">
        <v>271</v>
      </c>
      <c r="I95" s="19"/>
    </row>
    <row r="96" spans="1:9" ht="60" hidden="1" customHeight="1" x14ac:dyDescent="0.2">
      <c r="A96" s="11">
        <v>95</v>
      </c>
      <c r="B96" s="19" t="s">
        <v>14</v>
      </c>
      <c r="C96" s="17" t="s">
        <v>17</v>
      </c>
      <c r="D96" s="11" t="s">
        <v>361</v>
      </c>
      <c r="E96" s="19" t="s">
        <v>362</v>
      </c>
      <c r="F96" s="19" t="s">
        <v>363</v>
      </c>
      <c r="G96" s="11"/>
      <c r="H96" s="19" t="s">
        <v>199</v>
      </c>
      <c r="I96" s="19"/>
    </row>
    <row r="97" spans="1:9" ht="60" hidden="1" customHeight="1" x14ac:dyDescent="0.2">
      <c r="A97" s="11">
        <v>96</v>
      </c>
      <c r="B97" s="19" t="s">
        <v>14</v>
      </c>
      <c r="C97" s="17" t="s">
        <v>17</v>
      </c>
      <c r="D97" s="11" t="s">
        <v>364</v>
      </c>
      <c r="E97" s="19" t="s">
        <v>365</v>
      </c>
      <c r="F97" s="19" t="s">
        <v>366</v>
      </c>
      <c r="G97" s="11"/>
      <c r="H97" s="19" t="s">
        <v>74</v>
      </c>
      <c r="I97" s="19"/>
    </row>
    <row r="98" spans="1:9" ht="60" hidden="1" customHeight="1" x14ac:dyDescent="0.2">
      <c r="A98" s="11">
        <v>97</v>
      </c>
      <c r="B98" s="19" t="s">
        <v>14</v>
      </c>
      <c r="C98" s="17" t="s">
        <v>17</v>
      </c>
      <c r="D98" s="11" t="s">
        <v>367</v>
      </c>
      <c r="E98" s="19" t="s">
        <v>368</v>
      </c>
      <c r="F98" s="19" t="s">
        <v>369</v>
      </c>
      <c r="G98" s="11"/>
      <c r="H98" s="19" t="s">
        <v>66</v>
      </c>
      <c r="I98" s="19"/>
    </row>
    <row r="99" spans="1:9" ht="60" hidden="1" customHeight="1" x14ac:dyDescent="0.2">
      <c r="A99" s="11">
        <v>98</v>
      </c>
      <c r="B99" s="19" t="s">
        <v>14</v>
      </c>
      <c r="C99" s="17" t="s">
        <v>17</v>
      </c>
      <c r="D99" s="11" t="s">
        <v>370</v>
      </c>
      <c r="E99" s="19" t="s">
        <v>371</v>
      </c>
      <c r="F99" s="19" t="s">
        <v>372</v>
      </c>
      <c r="G99" s="11"/>
      <c r="H99" s="19" t="s">
        <v>373</v>
      </c>
      <c r="I99" s="19"/>
    </row>
    <row r="100" spans="1:9" ht="60" hidden="1" customHeight="1" x14ac:dyDescent="0.2">
      <c r="A100" s="11">
        <v>99</v>
      </c>
      <c r="B100" s="19" t="s">
        <v>14</v>
      </c>
      <c r="C100" s="17" t="s">
        <v>17</v>
      </c>
      <c r="D100" s="11" t="s">
        <v>374</v>
      </c>
      <c r="E100" s="19" t="s">
        <v>375</v>
      </c>
      <c r="F100" s="19" t="s">
        <v>376</v>
      </c>
      <c r="G100" s="11"/>
      <c r="H100" s="19" t="s">
        <v>377</v>
      </c>
      <c r="I100" s="19"/>
    </row>
    <row r="101" spans="1:9" ht="60" hidden="1" customHeight="1" x14ac:dyDescent="0.2">
      <c r="A101" s="11">
        <v>100</v>
      </c>
      <c r="B101" s="19" t="s">
        <v>14</v>
      </c>
      <c r="C101" s="17" t="s">
        <v>17</v>
      </c>
      <c r="D101" s="11" t="s">
        <v>378</v>
      </c>
      <c r="E101" s="19" t="s">
        <v>379</v>
      </c>
      <c r="F101" s="19" t="s">
        <v>380</v>
      </c>
      <c r="G101" s="11"/>
      <c r="H101" s="19" t="s">
        <v>381</v>
      </c>
      <c r="I101" s="19"/>
    </row>
    <row r="102" spans="1:9" ht="60" customHeight="1" x14ac:dyDescent="0.2">
      <c r="A102" s="11">
        <v>101</v>
      </c>
      <c r="B102" s="19" t="s">
        <v>27</v>
      </c>
      <c r="C102" s="22" t="s">
        <v>20</v>
      </c>
      <c r="D102" s="11" t="s">
        <v>382</v>
      </c>
      <c r="E102" s="19" t="s">
        <v>383</v>
      </c>
      <c r="F102" s="19" t="s">
        <v>384</v>
      </c>
      <c r="G102" s="11"/>
      <c r="H102" s="19" t="s">
        <v>385</v>
      </c>
      <c r="I102" s="19"/>
    </row>
    <row r="103" spans="1:9" ht="60" customHeight="1" x14ac:dyDescent="0.2">
      <c r="A103" s="11">
        <v>102</v>
      </c>
      <c r="B103" s="19" t="s">
        <v>28</v>
      </c>
      <c r="C103" s="22" t="s">
        <v>20</v>
      </c>
      <c r="D103" s="11" t="s">
        <v>386</v>
      </c>
      <c r="E103" s="19" t="s">
        <v>387</v>
      </c>
      <c r="F103" s="19" t="s">
        <v>388</v>
      </c>
      <c r="G103" s="11"/>
      <c r="H103" s="19" t="s">
        <v>389</v>
      </c>
      <c r="I103" s="19"/>
    </row>
    <row r="104" spans="1:9" ht="60" hidden="1" customHeight="1" x14ac:dyDescent="0.2">
      <c r="A104" s="11">
        <v>103</v>
      </c>
      <c r="B104" s="19" t="s">
        <v>20</v>
      </c>
      <c r="C104" s="22" t="s">
        <v>20</v>
      </c>
      <c r="D104" s="11" t="s">
        <v>390</v>
      </c>
      <c r="E104" s="19" t="s">
        <v>391</v>
      </c>
      <c r="F104" s="19" t="s">
        <v>392</v>
      </c>
      <c r="G104" s="11"/>
      <c r="H104" s="19" t="s">
        <v>393</v>
      </c>
      <c r="I104" s="19"/>
    </row>
    <row r="105" spans="1:9" ht="60" hidden="1" customHeight="1" x14ac:dyDescent="0.2">
      <c r="A105" s="11">
        <v>104</v>
      </c>
      <c r="B105" s="19" t="s">
        <v>20</v>
      </c>
      <c r="C105" s="22" t="s">
        <v>20</v>
      </c>
      <c r="D105" s="11" t="s">
        <v>390</v>
      </c>
      <c r="E105" s="19" t="s">
        <v>394</v>
      </c>
      <c r="F105" s="19" t="s">
        <v>395</v>
      </c>
      <c r="G105" s="11"/>
      <c r="H105" s="19" t="s">
        <v>396</v>
      </c>
      <c r="I105" s="19"/>
    </row>
    <row r="106" spans="1:9" ht="60" hidden="1" customHeight="1" x14ac:dyDescent="0.2">
      <c r="A106" s="11">
        <v>105</v>
      </c>
      <c r="B106" s="19" t="s">
        <v>20</v>
      </c>
      <c r="C106" s="22" t="s">
        <v>20</v>
      </c>
      <c r="D106" s="11" t="s">
        <v>390</v>
      </c>
      <c r="E106" s="19" t="s">
        <v>397</v>
      </c>
      <c r="F106" s="19" t="s">
        <v>398</v>
      </c>
      <c r="G106" s="11"/>
      <c r="H106" s="19" t="s">
        <v>396</v>
      </c>
      <c r="I106" s="19"/>
    </row>
    <row r="107" spans="1:9" ht="60" hidden="1" customHeight="1" x14ac:dyDescent="0.2">
      <c r="A107" s="11">
        <v>106</v>
      </c>
      <c r="B107" s="19" t="s">
        <v>20</v>
      </c>
      <c r="C107" s="22" t="s">
        <v>20</v>
      </c>
      <c r="D107" s="11" t="s">
        <v>390</v>
      </c>
      <c r="E107" s="19" t="s">
        <v>399</v>
      </c>
      <c r="F107" s="19" t="s">
        <v>400</v>
      </c>
      <c r="G107" s="11"/>
      <c r="H107" s="19" t="s">
        <v>396</v>
      </c>
      <c r="I107" s="19"/>
    </row>
    <row r="108" spans="1:9" ht="60" hidden="1" customHeight="1" x14ac:dyDescent="0.2">
      <c r="A108" s="11">
        <v>107</v>
      </c>
      <c r="B108" s="19" t="s">
        <v>20</v>
      </c>
      <c r="C108" s="22" t="s">
        <v>20</v>
      </c>
      <c r="D108" s="11" t="s">
        <v>390</v>
      </c>
      <c r="E108" s="19" t="s">
        <v>401</v>
      </c>
      <c r="F108" s="19" t="s">
        <v>402</v>
      </c>
      <c r="G108" s="11"/>
      <c r="H108" s="19" t="s">
        <v>396</v>
      </c>
      <c r="I108" s="19"/>
    </row>
  </sheetData>
  <autoFilter ref="A1:I108" xr:uid="{00000000-0009-0000-0000-000001000000}">
    <filterColumn colId="1">
      <filters>
        <filter val="Diferencial-MiPymes"/>
        <filter val="Diferencial-Mujeres"/>
        <filter val="Documental"/>
        <filter val="Evaluación-Económico"/>
        <filter val="Evaluación-Industria Nacional"/>
        <filter val="Evaluación-MiPymes/Mujeres"/>
        <filter val="Evaluación-Técnico"/>
        <filter val="Experiencia"/>
        <filter val="Financiero"/>
        <filter val="Jurídico"/>
        <filter val="Organizacional"/>
        <filter val="Otro"/>
        <filter val="Técnico"/>
      </filters>
    </filterColumn>
  </autoFilter>
  <conditionalFormatting sqref="G2:G108">
    <cfRule type="cellIs" dxfId="11" priority="2" operator="equal">
      <formula>"Sí"</formula>
    </cfRule>
    <cfRule type="cellIs" dxfId="10" priority="3" operator="equal">
      <formula>"No"</formula>
    </cfRule>
    <cfRule type="cellIs" dxfId="9" priority="4" operator="equal">
      <formula>"Parcial"</formula>
    </cfRule>
    <cfRule type="cellIs" dxfId="8" priority="5" operator="equal">
      <formula>"Pendiente"</formula>
    </cfRule>
  </conditionalFormatting>
  <dataValidations count="1">
    <dataValidation type="list" allowBlank="1" errorTitle="Entrada no válida" error="Valor no válido" promptTitle="Estado de cumplimiento" prompt="Seleccione: Sí, No, Parcial o Pendiente" sqref="G2:G108" xr:uid="{00000000-0002-0000-0100-000000000000}">
      <formula1>"Sí,No,Parcial,Pendiente"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zoomScaleNormal="100" workbookViewId="0">
      <selection sqref="A1:B1"/>
    </sheetView>
  </sheetViews>
  <sheetFormatPr baseColWidth="10" defaultColWidth="8.6640625" defaultRowHeight="15" x14ac:dyDescent="0.2"/>
  <cols>
    <col min="1" max="1" width="18" customWidth="1"/>
    <col min="2" max="2" width="90" customWidth="1"/>
  </cols>
  <sheetData>
    <row r="1" spans="1:2" ht="27.75" customHeight="1" x14ac:dyDescent="0.2">
      <c r="A1" s="5" t="s">
        <v>403</v>
      </c>
      <c r="B1" s="5"/>
    </row>
    <row r="3" spans="1:2" x14ac:dyDescent="0.2">
      <c r="A3" s="9" t="s">
        <v>39</v>
      </c>
      <c r="B3" s="9" t="s">
        <v>42</v>
      </c>
    </row>
    <row r="4" spans="1:2" ht="39.75" customHeight="1" x14ac:dyDescent="0.2">
      <c r="A4" s="23" t="s">
        <v>46</v>
      </c>
      <c r="B4" s="19" t="s">
        <v>404</v>
      </c>
    </row>
    <row r="5" spans="1:2" ht="39.75" customHeight="1" x14ac:dyDescent="0.2">
      <c r="A5" s="24" t="s">
        <v>195</v>
      </c>
      <c r="B5" s="19" t="s">
        <v>405</v>
      </c>
    </row>
    <row r="6" spans="1:2" ht="39.75" customHeight="1" x14ac:dyDescent="0.2">
      <c r="A6" s="25" t="s">
        <v>17</v>
      </c>
      <c r="B6" s="19" t="s">
        <v>406</v>
      </c>
    </row>
    <row r="7" spans="1:2" ht="39.75" customHeight="1" x14ac:dyDescent="0.2">
      <c r="A7" s="26" t="s">
        <v>20</v>
      </c>
      <c r="B7" s="19" t="s">
        <v>407</v>
      </c>
    </row>
    <row r="10" spans="1:2" ht="16" x14ac:dyDescent="0.2">
      <c r="A10" s="6" t="s">
        <v>408</v>
      </c>
    </row>
    <row r="11" spans="1:2" x14ac:dyDescent="0.2">
      <c r="A11" s="9" t="s">
        <v>31</v>
      </c>
      <c r="B11" s="9" t="s">
        <v>409</v>
      </c>
    </row>
    <row r="12" spans="1:2" ht="30" customHeight="1" x14ac:dyDescent="0.2">
      <c r="A12" s="27" t="s">
        <v>410</v>
      </c>
      <c r="B12" s="19" t="s">
        <v>411</v>
      </c>
    </row>
    <row r="13" spans="1:2" ht="30" customHeight="1" x14ac:dyDescent="0.2">
      <c r="A13" s="28" t="s">
        <v>412</v>
      </c>
      <c r="B13" s="19" t="s">
        <v>413</v>
      </c>
    </row>
    <row r="14" spans="1:2" ht="30" customHeight="1" x14ac:dyDescent="0.2">
      <c r="A14" s="29" t="s">
        <v>35</v>
      </c>
      <c r="B14" s="19" t="s">
        <v>414</v>
      </c>
    </row>
    <row r="15" spans="1:2" ht="30" customHeight="1" x14ac:dyDescent="0.2">
      <c r="A15" s="30" t="s">
        <v>36</v>
      </c>
      <c r="B15" s="19" t="s">
        <v>415</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zoomScaleNormal="100" workbookViewId="0">
      <selection sqref="A1:F1"/>
    </sheetView>
  </sheetViews>
  <sheetFormatPr baseColWidth="10" defaultColWidth="8.6640625" defaultRowHeight="15" x14ac:dyDescent="0.2"/>
  <cols>
    <col min="1" max="2" width="32" customWidth="1"/>
    <col min="3" max="4" width="14" customWidth="1"/>
    <col min="5" max="5" width="12" customWidth="1"/>
    <col min="6" max="6" width="38" customWidth="1"/>
  </cols>
  <sheetData>
    <row r="1" spans="1:6" ht="27.75" customHeight="1" x14ac:dyDescent="0.2">
      <c r="A1" s="5" t="s">
        <v>416</v>
      </c>
      <c r="B1" s="5"/>
      <c r="C1" s="5"/>
      <c r="D1" s="5"/>
      <c r="E1" s="5"/>
      <c r="F1" s="5"/>
    </row>
    <row r="3" spans="1:6" ht="16" x14ac:dyDescent="0.2">
      <c r="A3" s="6" t="s">
        <v>417</v>
      </c>
    </row>
    <row r="4" spans="1:6" ht="30" x14ac:dyDescent="0.2">
      <c r="A4" s="9" t="s">
        <v>418</v>
      </c>
      <c r="B4" s="9" t="s">
        <v>419</v>
      </c>
      <c r="C4" s="9" t="s">
        <v>420</v>
      </c>
      <c r="D4" s="9" t="s">
        <v>421</v>
      </c>
      <c r="E4" s="9" t="s">
        <v>43</v>
      </c>
      <c r="F4" s="9" t="s">
        <v>422</v>
      </c>
    </row>
    <row r="5" spans="1:6" ht="28" x14ac:dyDescent="0.2">
      <c r="A5" s="19" t="s">
        <v>423</v>
      </c>
      <c r="B5" s="19" t="s">
        <v>424</v>
      </c>
      <c r="C5" s="11" t="s">
        <v>425</v>
      </c>
      <c r="D5" s="11"/>
      <c r="E5" s="11"/>
      <c r="F5" s="19" t="s">
        <v>426</v>
      </c>
    </row>
    <row r="6" spans="1:6" x14ac:dyDescent="0.2">
      <c r="A6" s="19" t="s">
        <v>427</v>
      </c>
      <c r="B6" s="19" t="s">
        <v>428</v>
      </c>
      <c r="C6" s="11" t="s">
        <v>429</v>
      </c>
      <c r="D6" s="11"/>
      <c r="E6" s="11"/>
      <c r="F6" s="19" t="s">
        <v>430</v>
      </c>
    </row>
    <row r="7" spans="1:6" ht="28" x14ac:dyDescent="0.2">
      <c r="A7" s="19" t="s">
        <v>431</v>
      </c>
      <c r="B7" s="19" t="s">
        <v>432</v>
      </c>
      <c r="C7" s="11" t="s">
        <v>433</v>
      </c>
      <c r="D7" s="11"/>
      <c r="E7" s="11"/>
      <c r="F7" s="19" t="s">
        <v>434</v>
      </c>
    </row>
    <row r="9" spans="1:6" ht="16" x14ac:dyDescent="0.2">
      <c r="A9" s="6" t="s">
        <v>435</v>
      </c>
    </row>
    <row r="10" spans="1:6" ht="30" x14ac:dyDescent="0.2">
      <c r="A10" s="9" t="s">
        <v>418</v>
      </c>
      <c r="B10" s="9" t="s">
        <v>419</v>
      </c>
      <c r="C10" s="9" t="s">
        <v>420</v>
      </c>
      <c r="D10" s="9" t="s">
        <v>421</v>
      </c>
      <c r="E10" s="9" t="s">
        <v>43</v>
      </c>
      <c r="F10" s="9" t="s">
        <v>422</v>
      </c>
    </row>
    <row r="11" spans="1:6" x14ac:dyDescent="0.2">
      <c r="A11" s="19" t="s">
        <v>436</v>
      </c>
      <c r="B11" s="19" t="s">
        <v>437</v>
      </c>
      <c r="C11" s="11" t="s">
        <v>438</v>
      </c>
      <c r="D11" s="11"/>
      <c r="E11" s="11"/>
      <c r="F11" s="19" t="s">
        <v>430</v>
      </c>
    </row>
    <row r="12" spans="1:6" x14ac:dyDescent="0.2">
      <c r="A12" s="19" t="s">
        <v>439</v>
      </c>
      <c r="B12" s="19" t="s">
        <v>440</v>
      </c>
      <c r="C12" s="11" t="s">
        <v>441</v>
      </c>
      <c r="D12" s="11"/>
      <c r="E12" s="11"/>
      <c r="F12" s="19" t="s">
        <v>442</v>
      </c>
    </row>
    <row r="14" spans="1:6" ht="15" customHeight="1" x14ac:dyDescent="0.2">
      <c r="A14" s="2" t="s">
        <v>443</v>
      </c>
      <c r="B14" s="2"/>
      <c r="C14" s="2"/>
      <c r="D14" s="2"/>
      <c r="E14" s="2"/>
      <c r="F14" s="2"/>
    </row>
  </sheetData>
  <mergeCells count="2">
    <mergeCell ref="A1:F1"/>
    <mergeCell ref="A14:F14"/>
  </mergeCells>
  <conditionalFormatting sqref="E5:E13">
    <cfRule type="cellIs" dxfId="7" priority="2" operator="equal">
      <formula>"Sí"</formula>
    </cfRule>
    <cfRule type="cellIs" dxfId="6" priority="3" operator="equal">
      <formula>"No"</formula>
    </cfRule>
    <cfRule type="cellIs" dxfId="5" priority="4" operator="equal">
      <formula>"Parcial"</formula>
    </cfRule>
    <cfRule type="cellIs" dxfId="4" priority="5" operator="equal">
      <formula>"Pendiente"</formula>
    </cfRule>
  </conditionalFormatting>
  <dataValidations count="1">
    <dataValidation type="list" allowBlank="1" sqref="E5:E13" xr:uid="{00000000-0002-0000-0300-000000000000}">
      <formula1>"Sí,No,Parcial,Pendiente"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
  <sheetViews>
    <sheetView zoomScaleNormal="100" workbookViewId="0">
      <selection activeCell="C5" sqref="C5"/>
    </sheetView>
  </sheetViews>
  <sheetFormatPr baseColWidth="10" defaultColWidth="8.6640625" defaultRowHeight="15" x14ac:dyDescent="0.2"/>
  <cols>
    <col min="1" max="1" width="12" customWidth="1"/>
    <col min="2" max="2" width="50" customWidth="1"/>
    <col min="3" max="3" width="18" customWidth="1"/>
    <col min="4" max="4" width="70" customWidth="1"/>
    <col min="5" max="5" width="22" customWidth="1"/>
    <col min="6" max="6" width="12" customWidth="1"/>
  </cols>
  <sheetData>
    <row r="1" spans="1:6" ht="27.75" customHeight="1" x14ac:dyDescent="0.2">
      <c r="A1" s="5" t="s">
        <v>444</v>
      </c>
      <c r="B1" s="5"/>
      <c r="C1" s="5"/>
      <c r="D1" s="5"/>
      <c r="E1" s="5"/>
      <c r="F1" s="5"/>
    </row>
    <row r="2" spans="1:6" ht="15" customHeight="1" x14ac:dyDescent="0.2">
      <c r="A2" s="1" t="s">
        <v>445</v>
      </c>
      <c r="B2" s="1"/>
      <c r="C2" s="1"/>
      <c r="D2" s="1"/>
      <c r="E2" s="1"/>
      <c r="F2" s="1"/>
    </row>
    <row r="4" spans="1:6" ht="27.75" customHeight="1" x14ac:dyDescent="0.2">
      <c r="A4" s="9" t="s">
        <v>446</v>
      </c>
      <c r="B4" s="9" t="s">
        <v>447</v>
      </c>
      <c r="C4" s="9" t="s">
        <v>448</v>
      </c>
      <c r="D4" s="9" t="s">
        <v>449</v>
      </c>
      <c r="E4" s="9" t="s">
        <v>450</v>
      </c>
      <c r="F4" s="9" t="s">
        <v>43</v>
      </c>
    </row>
    <row r="5" spans="1:6" ht="49.5" customHeight="1" x14ac:dyDescent="0.2">
      <c r="A5" s="11">
        <v>1</v>
      </c>
      <c r="B5" s="19" t="s">
        <v>451</v>
      </c>
      <c r="C5" s="31">
        <v>6000</v>
      </c>
      <c r="D5" s="19" t="s">
        <v>452</v>
      </c>
      <c r="E5" s="32"/>
      <c r="F5" s="11"/>
    </row>
    <row r="6" spans="1:6" ht="49.5" customHeight="1" x14ac:dyDescent="0.2">
      <c r="A6" s="14">
        <v>2</v>
      </c>
      <c r="B6" s="33" t="s">
        <v>453</v>
      </c>
      <c r="C6" s="34">
        <v>3000</v>
      </c>
      <c r="D6" s="33" t="s">
        <v>454</v>
      </c>
      <c r="E6" s="35"/>
      <c r="F6" s="14"/>
    </row>
    <row r="7" spans="1:6" ht="49.5" customHeight="1" x14ac:dyDescent="0.2">
      <c r="A7" s="11">
        <v>3</v>
      </c>
      <c r="B7" s="19" t="s">
        <v>455</v>
      </c>
      <c r="C7" s="31">
        <v>2000</v>
      </c>
      <c r="D7" s="19" t="s">
        <v>456</v>
      </c>
      <c r="E7" s="32"/>
      <c r="F7" s="11"/>
    </row>
    <row r="8" spans="1:6" ht="49.5" customHeight="1" x14ac:dyDescent="0.2">
      <c r="A8" s="14">
        <v>4</v>
      </c>
      <c r="B8" s="33" t="s">
        <v>457</v>
      </c>
      <c r="C8" s="34">
        <v>1000</v>
      </c>
      <c r="D8" s="33" t="s">
        <v>458</v>
      </c>
      <c r="E8" s="35"/>
      <c r="F8" s="14"/>
    </row>
    <row r="9" spans="1:6" ht="49.5" customHeight="1" x14ac:dyDescent="0.2">
      <c r="A9" s="11">
        <v>5</v>
      </c>
      <c r="B9" s="19" t="s">
        <v>459</v>
      </c>
      <c r="C9" s="31">
        <v>3000</v>
      </c>
      <c r="D9" s="19" t="s">
        <v>460</v>
      </c>
      <c r="E9" s="32"/>
      <c r="F9" s="11"/>
    </row>
    <row r="10" spans="1:6" ht="49.5" customHeight="1" x14ac:dyDescent="0.2">
      <c r="A10" s="14">
        <v>6</v>
      </c>
      <c r="B10" s="33" t="s">
        <v>461</v>
      </c>
      <c r="C10" s="34">
        <v>6000</v>
      </c>
      <c r="D10" s="33" t="s">
        <v>462</v>
      </c>
      <c r="E10" s="35"/>
      <c r="F10" s="14"/>
    </row>
    <row r="11" spans="1:6" ht="49.5" customHeight="1" x14ac:dyDescent="0.2">
      <c r="A11" s="11">
        <v>7</v>
      </c>
      <c r="B11" s="19" t="s">
        <v>463</v>
      </c>
      <c r="C11" s="31">
        <v>6000</v>
      </c>
      <c r="D11" s="19" t="s">
        <v>464</v>
      </c>
      <c r="E11" s="32"/>
      <c r="F11" s="11"/>
    </row>
    <row r="12" spans="1:6" ht="49.5" customHeight="1" x14ac:dyDescent="0.2">
      <c r="A12" s="14">
        <v>8</v>
      </c>
      <c r="B12" s="33" t="s">
        <v>465</v>
      </c>
      <c r="C12" s="34">
        <v>1000</v>
      </c>
      <c r="D12" s="33" t="s">
        <v>466</v>
      </c>
      <c r="E12" s="35"/>
      <c r="F12" s="14"/>
    </row>
    <row r="13" spans="1:6" x14ac:dyDescent="0.2">
      <c r="A13" s="36" t="s">
        <v>29</v>
      </c>
      <c r="B13" s="37" t="s">
        <v>467</v>
      </c>
      <c r="C13" s="38">
        <f>SUM(C5:C12)</f>
        <v>28000</v>
      </c>
      <c r="D13" s="39"/>
      <c r="E13" s="40">
        <f>SUM(E5:E12)</f>
        <v>0</v>
      </c>
      <c r="F13" s="39"/>
    </row>
    <row r="15" spans="1:6" ht="16" x14ac:dyDescent="0.2">
      <c r="A15" s="6" t="s">
        <v>468</v>
      </c>
    </row>
    <row r="16" spans="1:6" x14ac:dyDescent="0.2">
      <c r="A16" s="9" t="s">
        <v>469</v>
      </c>
      <c r="B16" s="9" t="s">
        <v>470</v>
      </c>
    </row>
    <row r="17" spans="1:2" x14ac:dyDescent="0.2">
      <c r="A17" s="41" t="s">
        <v>471</v>
      </c>
      <c r="B17" s="19" t="s">
        <v>472</v>
      </c>
    </row>
    <row r="18" spans="1:2" x14ac:dyDescent="0.2">
      <c r="A18" s="42" t="s">
        <v>473</v>
      </c>
      <c r="B18" s="33" t="s">
        <v>474</v>
      </c>
    </row>
    <row r="19" spans="1:2" x14ac:dyDescent="0.2">
      <c r="A19" s="41" t="s">
        <v>475</v>
      </c>
      <c r="B19" s="19" t="s">
        <v>476</v>
      </c>
    </row>
    <row r="20" spans="1:2" x14ac:dyDescent="0.2">
      <c r="A20" s="42" t="s">
        <v>477</v>
      </c>
      <c r="B20" s="33" t="s">
        <v>478</v>
      </c>
    </row>
    <row r="21" spans="1:2" x14ac:dyDescent="0.2">
      <c r="A21" s="41" t="s">
        <v>479</v>
      </c>
      <c r="B21" s="19" t="s">
        <v>480</v>
      </c>
    </row>
    <row r="22" spans="1:2" x14ac:dyDescent="0.2">
      <c r="A22" s="42" t="s">
        <v>481</v>
      </c>
      <c r="B22" s="33" t="s">
        <v>482</v>
      </c>
    </row>
    <row r="23" spans="1:2" x14ac:dyDescent="0.2">
      <c r="A23" s="41" t="s">
        <v>483</v>
      </c>
      <c r="B23" s="19" t="s">
        <v>484</v>
      </c>
    </row>
    <row r="24" spans="1:2" x14ac:dyDescent="0.2">
      <c r="A24" s="42" t="s">
        <v>485</v>
      </c>
      <c r="B24" s="33" t="s">
        <v>486</v>
      </c>
    </row>
    <row r="25" spans="1:2" x14ac:dyDescent="0.2">
      <c r="A25" s="41" t="s">
        <v>487</v>
      </c>
      <c r="B25" s="19" t="s">
        <v>488</v>
      </c>
    </row>
    <row r="26" spans="1:2" x14ac:dyDescent="0.2">
      <c r="A26" s="42" t="s">
        <v>489</v>
      </c>
      <c r="B26" s="33" t="s">
        <v>490</v>
      </c>
    </row>
    <row r="27" spans="1:2" x14ac:dyDescent="0.2">
      <c r="A27" s="41" t="s">
        <v>491</v>
      </c>
      <c r="B27" s="19" t="s">
        <v>492</v>
      </c>
    </row>
    <row r="28" spans="1:2" ht="28" x14ac:dyDescent="0.2">
      <c r="A28" s="42" t="s">
        <v>493</v>
      </c>
      <c r="B28" s="33" t="s">
        <v>494</v>
      </c>
    </row>
    <row r="29" spans="1:2" x14ac:dyDescent="0.2">
      <c r="A29" s="41" t="s">
        <v>495</v>
      </c>
      <c r="B29" s="19" t="s">
        <v>496</v>
      </c>
    </row>
    <row r="30" spans="1:2" x14ac:dyDescent="0.2">
      <c r="A30" s="42" t="s">
        <v>497</v>
      </c>
      <c r="B30" s="33" t="s">
        <v>498</v>
      </c>
    </row>
    <row r="31" spans="1:2" x14ac:dyDescent="0.2">
      <c r="A31" s="41" t="s">
        <v>499</v>
      </c>
      <c r="B31" s="19" t="s">
        <v>500</v>
      </c>
    </row>
  </sheetData>
  <mergeCells count="2">
    <mergeCell ref="A1:F1"/>
    <mergeCell ref="A2:F2"/>
  </mergeCells>
  <conditionalFormatting sqref="F5:F12">
    <cfRule type="cellIs" dxfId="3" priority="2" operator="equal">
      <formula>"Sí"</formula>
    </cfRule>
    <cfRule type="cellIs" dxfId="2" priority="3" operator="equal">
      <formula>"No"</formula>
    </cfRule>
    <cfRule type="cellIs" dxfId="1" priority="4" operator="equal">
      <formula>"Parcial"</formula>
    </cfRule>
    <cfRule type="cellIs" dxfId="0" priority="5" operator="equal">
      <formula>"Pendiente"</formula>
    </cfRule>
  </conditionalFormatting>
  <dataValidations count="1">
    <dataValidation type="list" allowBlank="1" sqref="F5:F12" xr:uid="{00000000-0002-0000-0400-000000000000}">
      <formula1>"Sí,No,Parcial,Pendiente"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Resumen</vt:lpstr>
      <vt:lpstr>Requerimientos</vt:lpstr>
      <vt:lpstr>Leyenda</vt:lpstr>
      <vt:lpstr>Indicadores</vt:lpstr>
      <vt:lpstr>Experiencia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Jhon Velasco</cp:lastModifiedBy>
  <cp:revision>0</cp:revision>
  <dcterms:created xsi:type="dcterms:W3CDTF">2026-04-25T23:27:54Z</dcterms:created>
  <dcterms:modified xsi:type="dcterms:W3CDTF">2026-04-25T23:42:27Z</dcterms:modified>
  <dc:language>en-US</dc:language>
</cp:coreProperties>
</file>